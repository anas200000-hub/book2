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alsubeihi\Desktop\"/>
    </mc:Choice>
  </mc:AlternateContent>
  <xr:revisionPtr revIDLastSave="0" documentId="13_ncr:1_{A49D2A44-FAFF-495D-B53B-59158A4A3459}" xr6:coauthVersionLast="47" xr6:coauthVersionMax="47" xr10:uidLastSave="{00000000-0000-0000-0000-000000000000}"/>
  <bookViews>
    <workbookView xWindow="-120" yWindow="-120" windowWidth="29040" windowHeight="15720" activeTab="1" xr2:uid="{D9ACBF4D-D786-48D9-B413-0CB7B6C841DE}"/>
  </bookViews>
  <sheets>
    <sheet name="Salary Slip" sheetId="1" r:id="rId1"/>
    <sheet name="Control" sheetId="8" r:id="rId2"/>
    <sheet name="NAMES" sheetId="16" r:id="rId3"/>
    <sheet name="November 2025" sheetId="18" r:id="rId4"/>
    <sheet name="October 2025" sheetId="17" r:id="rId5"/>
    <sheet name="September 2025" sheetId="9" r:id="rId6"/>
    <sheet name="August 2025" sheetId="3" r:id="rId7"/>
    <sheet name="July 2025" sheetId="2" r:id="rId8"/>
    <sheet name="June 2025" sheetId="4" r:id="rId9"/>
    <sheet name="May 2025" sheetId="5" r:id="rId10"/>
    <sheet name="April 2025" sheetId="6" r:id="rId11"/>
    <sheet name="March 2025" sheetId="7" r:id="rId12"/>
  </sheets>
  <functionGroups builtInGroupCount="19"/>
  <definedNames>
    <definedName name="_xlnm._FilterDatabase" localSheetId="10" hidden="1">'April 2025'!$B$3:$T$109</definedName>
    <definedName name="_xlnm._FilterDatabase" localSheetId="6" hidden="1">'August 2025'!$B$3:$T$101</definedName>
    <definedName name="_xlnm._FilterDatabase" localSheetId="7" hidden="1">'July 2025'!$B$3:$T$104</definedName>
    <definedName name="_xlnm._FilterDatabase" localSheetId="8" hidden="1">'June 2025'!$B$3:$T$106</definedName>
    <definedName name="_xlnm._FilterDatabase" localSheetId="11" hidden="1">'March 2025'!$B$3:$T$103</definedName>
    <definedName name="_xlnm._FilterDatabase" localSheetId="9" hidden="1">'May 2025'!$B$3:$T$107</definedName>
    <definedName name="_xleta.COUNT" hidden="1" xlm="1">#NAME?</definedName>
    <definedName name="_xlnm.Print_Area" localSheetId="10">'April 2025'!$B$1:$N$112</definedName>
    <definedName name="_xlnm.Print_Area" localSheetId="6">'August 2025'!$B$1:$N$126</definedName>
    <definedName name="_xlnm.Print_Area" localSheetId="7">'July 2025'!$B$1:$N$123</definedName>
    <definedName name="_xlnm.Print_Area" localSheetId="8">'June 2025'!$B$1:$N$120</definedName>
    <definedName name="_xlnm.Print_Area" localSheetId="11">'March 2025'!$B$1:$N$106</definedName>
    <definedName name="_xlnm.Print_Area" localSheetId="9">'May 2025'!$B$1:$N$115</definedName>
    <definedName name="_xlnm.Print_Area" localSheetId="0">'Salary Slip'!$A$1:$H$41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7" i="18" l="1"/>
  <c r="S162" i="18"/>
  <c r="Q162" i="18"/>
  <c r="P162" i="18"/>
  <c r="O162" i="18"/>
  <c r="S168" i="18" s="1"/>
  <c r="R155" i="18"/>
  <c r="R162" i="18" s="1"/>
  <c r="L138" i="18"/>
  <c r="K138" i="18"/>
  <c r="J138" i="18"/>
  <c r="D138" i="18"/>
  <c r="I137" i="18"/>
  <c r="M137" i="18" s="1"/>
  <c r="H137" i="18"/>
  <c r="G137" i="18"/>
  <c r="F137" i="18"/>
  <c r="N137" i="18" s="1"/>
  <c r="H136" i="18"/>
  <c r="G136" i="18"/>
  <c r="F136" i="18"/>
  <c r="N135" i="18"/>
  <c r="I135" i="18"/>
  <c r="M135" i="18" s="1"/>
  <c r="H135" i="18"/>
  <c r="G135" i="18"/>
  <c r="F135" i="18"/>
  <c r="H134" i="18"/>
  <c r="G134" i="18"/>
  <c r="F134" i="18"/>
  <c r="H133" i="18"/>
  <c r="G133" i="18"/>
  <c r="F133" i="18"/>
  <c r="N132" i="18"/>
  <c r="I132" i="18"/>
  <c r="H132" i="18"/>
  <c r="G132" i="18"/>
  <c r="M132" i="18" s="1"/>
  <c r="F132" i="18"/>
  <c r="H131" i="18"/>
  <c r="G131" i="18"/>
  <c r="F131" i="18"/>
  <c r="I130" i="18"/>
  <c r="H130" i="18"/>
  <c r="N130" i="18" s="1"/>
  <c r="G130" i="18"/>
  <c r="M130" i="18" s="1"/>
  <c r="F130" i="18"/>
  <c r="I129" i="18"/>
  <c r="M129" i="18" s="1"/>
  <c r="H129" i="18"/>
  <c r="G129" i="18"/>
  <c r="F129" i="18"/>
  <c r="N129" i="18" s="1"/>
  <c r="H128" i="18"/>
  <c r="G128" i="18"/>
  <c r="F128" i="18"/>
  <c r="N128" i="18" s="1"/>
  <c r="N127" i="18"/>
  <c r="I127" i="18"/>
  <c r="M127" i="18" s="1"/>
  <c r="H127" i="18"/>
  <c r="G127" i="18"/>
  <c r="F127" i="18"/>
  <c r="H126" i="18"/>
  <c r="G126" i="18"/>
  <c r="F126" i="18"/>
  <c r="N125" i="18"/>
  <c r="M125" i="18"/>
  <c r="H125" i="18"/>
  <c r="G125" i="18"/>
  <c r="F125" i="18"/>
  <c r="I125" i="18" s="1"/>
  <c r="N124" i="18"/>
  <c r="I124" i="18"/>
  <c r="H124" i="18"/>
  <c r="G124" i="18"/>
  <c r="M124" i="18" s="1"/>
  <c r="F124" i="18"/>
  <c r="H123" i="18"/>
  <c r="G123" i="18"/>
  <c r="F123" i="18"/>
  <c r="I122" i="18"/>
  <c r="M122" i="18" s="1"/>
  <c r="H122" i="18"/>
  <c r="N122" i="18" s="1"/>
  <c r="G122" i="18"/>
  <c r="F122" i="18"/>
  <c r="I121" i="18"/>
  <c r="M121" i="18" s="1"/>
  <c r="H121" i="18"/>
  <c r="G121" i="18"/>
  <c r="F121" i="18"/>
  <c r="N121" i="18" s="1"/>
  <c r="H120" i="18"/>
  <c r="G120" i="18"/>
  <c r="F120" i="18"/>
  <c r="N119" i="18"/>
  <c r="I119" i="18"/>
  <c r="M119" i="18" s="1"/>
  <c r="H119" i="18"/>
  <c r="G119" i="18"/>
  <c r="F119" i="18"/>
  <c r="H118" i="18"/>
  <c r="G118" i="18"/>
  <c r="F118" i="18"/>
  <c r="N118" i="18" s="1"/>
  <c r="H117" i="18"/>
  <c r="G117" i="18"/>
  <c r="F117" i="18"/>
  <c r="N116" i="18"/>
  <c r="I116" i="18"/>
  <c r="H116" i="18"/>
  <c r="G116" i="18"/>
  <c r="M116" i="18" s="1"/>
  <c r="F116" i="18"/>
  <c r="H115" i="18"/>
  <c r="G115" i="18"/>
  <c r="F115" i="18"/>
  <c r="I114" i="18"/>
  <c r="H114" i="18"/>
  <c r="N114" i="18" s="1"/>
  <c r="G114" i="18"/>
  <c r="M114" i="18" s="1"/>
  <c r="F114" i="18"/>
  <c r="I113" i="18"/>
  <c r="M113" i="18" s="1"/>
  <c r="H113" i="18"/>
  <c r="G113" i="18"/>
  <c r="F113" i="18"/>
  <c r="N113" i="18" s="1"/>
  <c r="I112" i="18"/>
  <c r="M112" i="18" s="1"/>
  <c r="H112" i="18"/>
  <c r="G112" i="18"/>
  <c r="F112" i="18"/>
  <c r="N111" i="18"/>
  <c r="I111" i="18"/>
  <c r="M111" i="18" s="1"/>
  <c r="H111" i="18"/>
  <c r="G111" i="18"/>
  <c r="F111" i="18"/>
  <c r="H110" i="18"/>
  <c r="G110" i="18"/>
  <c r="F110" i="18"/>
  <c r="N109" i="18"/>
  <c r="I109" i="18"/>
  <c r="M109" i="18" s="1"/>
  <c r="H109" i="18"/>
  <c r="G109" i="18"/>
  <c r="F109" i="18"/>
  <c r="N108" i="18"/>
  <c r="I108" i="18"/>
  <c r="H108" i="18"/>
  <c r="G108" i="18"/>
  <c r="M108" i="18" s="1"/>
  <c r="F108" i="18"/>
  <c r="H107" i="18"/>
  <c r="G107" i="18"/>
  <c r="F107" i="18"/>
  <c r="N106" i="18"/>
  <c r="I106" i="18"/>
  <c r="M106" i="18" s="1"/>
  <c r="H106" i="18"/>
  <c r="G106" i="18"/>
  <c r="F106" i="18"/>
  <c r="I105" i="18"/>
  <c r="M105" i="18" s="1"/>
  <c r="H105" i="18"/>
  <c r="G105" i="18"/>
  <c r="F105" i="18"/>
  <c r="N105" i="18" s="1"/>
  <c r="H104" i="18"/>
  <c r="G104" i="18"/>
  <c r="F104" i="18"/>
  <c r="N104" i="18" s="1"/>
  <c r="N103" i="18"/>
  <c r="I103" i="18"/>
  <c r="M103" i="18" s="1"/>
  <c r="H103" i="18"/>
  <c r="G103" i="18"/>
  <c r="F103" i="18"/>
  <c r="N102" i="18"/>
  <c r="H102" i="18"/>
  <c r="G102" i="18"/>
  <c r="F102" i="18"/>
  <c r="H101" i="18"/>
  <c r="G101" i="18"/>
  <c r="F101" i="18"/>
  <c r="N101" i="18" s="1"/>
  <c r="N100" i="18"/>
  <c r="I100" i="18"/>
  <c r="H100" i="18"/>
  <c r="G100" i="18"/>
  <c r="M100" i="18" s="1"/>
  <c r="F100" i="18"/>
  <c r="H99" i="18"/>
  <c r="G99" i="18"/>
  <c r="F99" i="18"/>
  <c r="I98" i="18"/>
  <c r="H98" i="18"/>
  <c r="N98" i="18" s="1"/>
  <c r="G98" i="18"/>
  <c r="M98" i="18" s="1"/>
  <c r="F98" i="18"/>
  <c r="I97" i="18"/>
  <c r="M97" i="18" s="1"/>
  <c r="H97" i="18"/>
  <c r="G97" i="18"/>
  <c r="F97" i="18"/>
  <c r="N97" i="18" s="1"/>
  <c r="H96" i="18"/>
  <c r="G96" i="18"/>
  <c r="F96" i="18"/>
  <c r="N96" i="18" s="1"/>
  <c r="N95" i="18"/>
  <c r="I95" i="18"/>
  <c r="M95" i="18" s="1"/>
  <c r="H95" i="18"/>
  <c r="G95" i="18"/>
  <c r="F95" i="18"/>
  <c r="H94" i="18"/>
  <c r="G94" i="18"/>
  <c r="F94" i="18"/>
  <c r="N94" i="18" s="1"/>
  <c r="H93" i="18"/>
  <c r="G93" i="18"/>
  <c r="F93" i="18"/>
  <c r="N93" i="18" s="1"/>
  <c r="N92" i="18"/>
  <c r="I92" i="18"/>
  <c r="H92" i="18"/>
  <c r="G92" i="18"/>
  <c r="M92" i="18" s="1"/>
  <c r="F92" i="18"/>
  <c r="H91" i="18"/>
  <c r="G91" i="18"/>
  <c r="F91" i="18"/>
  <c r="I90" i="18"/>
  <c r="H90" i="18"/>
  <c r="N90" i="18" s="1"/>
  <c r="G90" i="18"/>
  <c r="M90" i="18" s="1"/>
  <c r="F90" i="18"/>
  <c r="I89" i="18"/>
  <c r="M89" i="18" s="1"/>
  <c r="H89" i="18"/>
  <c r="G89" i="18"/>
  <c r="F89" i="18"/>
  <c r="N89" i="18" s="1"/>
  <c r="H88" i="18"/>
  <c r="G88" i="18"/>
  <c r="F88" i="18"/>
  <c r="N88" i="18" s="1"/>
  <c r="N87" i="18"/>
  <c r="I87" i="18"/>
  <c r="M87" i="18" s="1"/>
  <c r="H87" i="18"/>
  <c r="G87" i="18"/>
  <c r="F87" i="18"/>
  <c r="N86" i="18"/>
  <c r="H86" i="18"/>
  <c r="G86" i="18"/>
  <c r="F86" i="18"/>
  <c r="H85" i="18"/>
  <c r="G85" i="18"/>
  <c r="F85" i="18"/>
  <c r="N85" i="18" s="1"/>
  <c r="N84" i="18"/>
  <c r="I84" i="18"/>
  <c r="H84" i="18"/>
  <c r="G84" i="18"/>
  <c r="M84" i="18" s="1"/>
  <c r="F84" i="18"/>
  <c r="H83" i="18"/>
  <c r="G83" i="18"/>
  <c r="F83" i="18"/>
  <c r="N82" i="18"/>
  <c r="I82" i="18"/>
  <c r="H82" i="18"/>
  <c r="G82" i="18"/>
  <c r="M82" i="18" s="1"/>
  <c r="F82" i="18"/>
  <c r="N81" i="18"/>
  <c r="I81" i="18"/>
  <c r="M81" i="18" s="1"/>
  <c r="H81" i="18"/>
  <c r="G81" i="18"/>
  <c r="H80" i="18"/>
  <c r="G80" i="18"/>
  <c r="F80" i="18"/>
  <c r="N79" i="18"/>
  <c r="I79" i="18"/>
  <c r="M79" i="18" s="1"/>
  <c r="H79" i="18"/>
  <c r="G79" i="18"/>
  <c r="F79" i="18"/>
  <c r="N78" i="18"/>
  <c r="H78" i="18"/>
  <c r="G78" i="18"/>
  <c r="F78" i="18"/>
  <c r="I78" i="18" s="1"/>
  <c r="M78" i="18" s="1"/>
  <c r="H77" i="18"/>
  <c r="G77" i="18"/>
  <c r="F77" i="18"/>
  <c r="N76" i="18"/>
  <c r="M76" i="18"/>
  <c r="H76" i="18"/>
  <c r="G76" i="18"/>
  <c r="F76" i="18"/>
  <c r="I76" i="18" s="1"/>
  <c r="H75" i="18"/>
  <c r="G75" i="18"/>
  <c r="F75" i="18"/>
  <c r="H74" i="18"/>
  <c r="G74" i="18"/>
  <c r="F74" i="18"/>
  <c r="I73" i="18"/>
  <c r="M73" i="18" s="1"/>
  <c r="H73" i="18"/>
  <c r="G73" i="18"/>
  <c r="F73" i="18"/>
  <c r="N73" i="18" s="1"/>
  <c r="H72" i="18"/>
  <c r="G72" i="18"/>
  <c r="F72" i="18"/>
  <c r="I71" i="18"/>
  <c r="M71" i="18" s="1"/>
  <c r="H71" i="18"/>
  <c r="N71" i="18" s="1"/>
  <c r="G71" i="18"/>
  <c r="N70" i="18"/>
  <c r="I70" i="18"/>
  <c r="M70" i="18" s="1"/>
  <c r="H70" i="18"/>
  <c r="G70" i="18"/>
  <c r="I69" i="18"/>
  <c r="H69" i="18"/>
  <c r="G69" i="18"/>
  <c r="F69" i="18"/>
  <c r="I68" i="18"/>
  <c r="M68" i="18" s="1"/>
  <c r="H68" i="18"/>
  <c r="N68" i="18" s="1"/>
  <c r="G68" i="18"/>
  <c r="F68" i="18"/>
  <c r="N67" i="18"/>
  <c r="H67" i="18"/>
  <c r="G67" i="18"/>
  <c r="F67" i="18"/>
  <c r="I67" i="18" s="1"/>
  <c r="M67" i="18" s="1"/>
  <c r="I66" i="18"/>
  <c r="M66" i="18" s="1"/>
  <c r="H66" i="18"/>
  <c r="N66" i="18" s="1"/>
  <c r="G66" i="18"/>
  <c r="N65" i="18"/>
  <c r="I65" i="18"/>
  <c r="M65" i="18" s="1"/>
  <c r="H65" i="18"/>
  <c r="G65" i="18"/>
  <c r="F65" i="18"/>
  <c r="H64" i="18"/>
  <c r="G64" i="18"/>
  <c r="F64" i="18"/>
  <c r="N63" i="18"/>
  <c r="I63" i="18"/>
  <c r="M63" i="18" s="1"/>
  <c r="H63" i="18"/>
  <c r="G63" i="18"/>
  <c r="F63" i="18"/>
  <c r="N62" i="18"/>
  <c r="I62" i="18"/>
  <c r="H62" i="18"/>
  <c r="G62" i="18"/>
  <c r="F62" i="18"/>
  <c r="M62" i="18" s="1"/>
  <c r="I61" i="18"/>
  <c r="H61" i="18"/>
  <c r="N61" i="18" s="1"/>
  <c r="G61" i="18"/>
  <c r="M61" i="18" s="1"/>
  <c r="H60" i="18"/>
  <c r="G60" i="18"/>
  <c r="F60" i="18"/>
  <c r="N60" i="18" s="1"/>
  <c r="I59" i="18"/>
  <c r="M59" i="18" s="1"/>
  <c r="H59" i="18"/>
  <c r="G59" i="18"/>
  <c r="F59" i="18"/>
  <c r="N59" i="18" s="1"/>
  <c r="H58" i="18"/>
  <c r="G58" i="18"/>
  <c r="F58" i="18"/>
  <c r="I57" i="18"/>
  <c r="M57" i="18" s="1"/>
  <c r="H57" i="18"/>
  <c r="N57" i="18" s="1"/>
  <c r="G57" i="18"/>
  <c r="F57" i="18"/>
  <c r="N56" i="18"/>
  <c r="M56" i="18"/>
  <c r="H56" i="18"/>
  <c r="G56" i="18"/>
  <c r="F56" i="18"/>
  <c r="I56" i="18" s="1"/>
  <c r="H55" i="18"/>
  <c r="G55" i="18"/>
  <c r="F55" i="18"/>
  <c r="I55" i="18" s="1"/>
  <c r="I54" i="18"/>
  <c r="H54" i="18"/>
  <c r="N54" i="18" s="1"/>
  <c r="G54" i="18"/>
  <c r="F54" i="18"/>
  <c r="M54" i="18" s="1"/>
  <c r="H53" i="18"/>
  <c r="G53" i="18"/>
  <c r="F53" i="18"/>
  <c r="I52" i="18"/>
  <c r="H52" i="18"/>
  <c r="N52" i="18" s="1"/>
  <c r="G52" i="18"/>
  <c r="M52" i="18" s="1"/>
  <c r="F52" i="18"/>
  <c r="I51" i="18"/>
  <c r="M51" i="18" s="1"/>
  <c r="H51" i="18"/>
  <c r="G51" i="18"/>
  <c r="F51" i="18"/>
  <c r="N51" i="18" s="1"/>
  <c r="H50" i="18"/>
  <c r="G50" i="18"/>
  <c r="E50" i="18"/>
  <c r="F50" i="18" s="1"/>
  <c r="N50" i="18" s="1"/>
  <c r="H49" i="18"/>
  <c r="G49" i="18"/>
  <c r="F49" i="18"/>
  <c r="I49" i="18" s="1"/>
  <c r="E49" i="18"/>
  <c r="H48" i="18"/>
  <c r="G48" i="18"/>
  <c r="E48" i="18"/>
  <c r="F48" i="18" s="1"/>
  <c r="N47" i="18"/>
  <c r="I47" i="18"/>
  <c r="M47" i="18" s="1"/>
  <c r="H47" i="18"/>
  <c r="G47" i="18"/>
  <c r="F47" i="18"/>
  <c r="H46" i="18"/>
  <c r="G46" i="18"/>
  <c r="E46" i="18"/>
  <c r="F46" i="18" s="1"/>
  <c r="I46" i="18" s="1"/>
  <c r="H45" i="18"/>
  <c r="G45" i="18"/>
  <c r="E45" i="18"/>
  <c r="F45" i="18" s="1"/>
  <c r="I44" i="18"/>
  <c r="H44" i="18"/>
  <c r="G44" i="18"/>
  <c r="E44" i="18"/>
  <c r="F44" i="18" s="1"/>
  <c r="H43" i="18"/>
  <c r="G43" i="18"/>
  <c r="E43" i="18"/>
  <c r="F43" i="18" s="1"/>
  <c r="H42" i="18"/>
  <c r="G42" i="18"/>
  <c r="F42" i="18"/>
  <c r="E42" i="18"/>
  <c r="H41" i="18"/>
  <c r="G41" i="18"/>
  <c r="E41" i="18"/>
  <c r="F41" i="18" s="1"/>
  <c r="H40" i="18"/>
  <c r="G40" i="18"/>
  <c r="E40" i="18"/>
  <c r="F40" i="18" s="1"/>
  <c r="N40" i="18" s="1"/>
  <c r="H39" i="18"/>
  <c r="G39" i="18"/>
  <c r="F39" i="18"/>
  <c r="E39" i="18"/>
  <c r="N38" i="18"/>
  <c r="I38" i="18"/>
  <c r="M38" i="18" s="1"/>
  <c r="H38" i="18"/>
  <c r="G38" i="18"/>
  <c r="F38" i="18"/>
  <c r="E38" i="18"/>
  <c r="H37" i="18"/>
  <c r="G37" i="18"/>
  <c r="E37" i="18"/>
  <c r="F37" i="18" s="1"/>
  <c r="N37" i="18" s="1"/>
  <c r="H36" i="18"/>
  <c r="G36" i="18"/>
  <c r="F36" i="18"/>
  <c r="N36" i="18" s="1"/>
  <c r="E36" i="18"/>
  <c r="H35" i="18"/>
  <c r="G35" i="18"/>
  <c r="E35" i="18"/>
  <c r="F35" i="18" s="1"/>
  <c r="H34" i="18"/>
  <c r="G34" i="18"/>
  <c r="E34" i="18"/>
  <c r="F34" i="18" s="1"/>
  <c r="H33" i="18"/>
  <c r="G33" i="18"/>
  <c r="E33" i="18"/>
  <c r="F33" i="18" s="1"/>
  <c r="H32" i="18"/>
  <c r="G32" i="18"/>
  <c r="E32" i="18"/>
  <c r="F32" i="18" s="1"/>
  <c r="H31" i="18"/>
  <c r="G31" i="18"/>
  <c r="E31" i="18"/>
  <c r="F31" i="18" s="1"/>
  <c r="N31" i="18" s="1"/>
  <c r="H30" i="18"/>
  <c r="G30" i="18"/>
  <c r="E30" i="18"/>
  <c r="F30" i="18" s="1"/>
  <c r="I30" i="18" s="1"/>
  <c r="H29" i="18"/>
  <c r="G29" i="18"/>
  <c r="E29" i="18"/>
  <c r="F29" i="18" s="1"/>
  <c r="H28" i="18"/>
  <c r="G28" i="18"/>
  <c r="E28" i="18"/>
  <c r="F28" i="18" s="1"/>
  <c r="E27" i="18"/>
  <c r="F27" i="18" s="1"/>
  <c r="N26" i="18"/>
  <c r="H26" i="18"/>
  <c r="G26" i="18"/>
  <c r="E26" i="18"/>
  <c r="F26" i="18" s="1"/>
  <c r="I26" i="18" s="1"/>
  <c r="M26" i="18" s="1"/>
  <c r="H25" i="18"/>
  <c r="G25" i="18"/>
  <c r="E25" i="18"/>
  <c r="F25" i="18" s="1"/>
  <c r="H24" i="18"/>
  <c r="H138" i="18" s="1"/>
  <c r="D142" i="18" s="1"/>
  <c r="G24" i="18"/>
  <c r="F24" i="18"/>
  <c r="N24" i="18" s="1"/>
  <c r="E24" i="18"/>
  <c r="H23" i="18"/>
  <c r="G23" i="18"/>
  <c r="E23" i="18"/>
  <c r="F23" i="18" s="1"/>
  <c r="N23" i="18" s="1"/>
  <c r="H22" i="18"/>
  <c r="D144" i="18" s="1"/>
  <c r="G22" i="18"/>
  <c r="E22" i="18"/>
  <c r="F22" i="18" s="1"/>
  <c r="H21" i="18"/>
  <c r="G21" i="18"/>
  <c r="E21" i="18"/>
  <c r="F21" i="18" s="1"/>
  <c r="H20" i="18"/>
  <c r="G20" i="18"/>
  <c r="E20" i="18"/>
  <c r="F20" i="18" s="1"/>
  <c r="H19" i="18"/>
  <c r="G19" i="18"/>
  <c r="E19" i="18"/>
  <c r="F19" i="18" s="1"/>
  <c r="H18" i="18"/>
  <c r="G18" i="18"/>
  <c r="E18" i="18"/>
  <c r="F18" i="18" s="1"/>
  <c r="H17" i="18"/>
  <c r="G17" i="18"/>
  <c r="E17" i="18"/>
  <c r="F17" i="18" s="1"/>
  <c r="N17" i="18" s="1"/>
  <c r="H16" i="18"/>
  <c r="G16" i="18"/>
  <c r="E16" i="18"/>
  <c r="F16" i="18" s="1"/>
  <c r="N15" i="18"/>
  <c r="I15" i="18"/>
  <c r="M15" i="18" s="1"/>
  <c r="H15" i="18"/>
  <c r="G15" i="18"/>
  <c r="E15" i="18"/>
  <c r="F15" i="18" s="1"/>
  <c r="H14" i="18"/>
  <c r="G14" i="18"/>
  <c r="E14" i="18"/>
  <c r="F14" i="18" s="1"/>
  <c r="I14" i="18" s="1"/>
  <c r="H13" i="18"/>
  <c r="G13" i="18"/>
  <c r="F13" i="18"/>
  <c r="H12" i="18"/>
  <c r="G12" i="18"/>
  <c r="E12" i="18"/>
  <c r="F12" i="18" s="1"/>
  <c r="N12" i="18" s="1"/>
  <c r="H11" i="18"/>
  <c r="G11" i="18"/>
  <c r="E11" i="18"/>
  <c r="F11" i="18" s="1"/>
  <c r="H10" i="18"/>
  <c r="G10" i="18"/>
  <c r="E10" i="18"/>
  <c r="F10" i="18" s="1"/>
  <c r="N9" i="18"/>
  <c r="M9" i="18"/>
  <c r="H9" i="18"/>
  <c r="G9" i="18"/>
  <c r="E9" i="18"/>
  <c r="F9" i="18" s="1"/>
  <c r="I9" i="18" s="1"/>
  <c r="H8" i="18"/>
  <c r="G8" i="18"/>
  <c r="E8" i="18"/>
  <c r="H7" i="18"/>
  <c r="G7" i="18"/>
  <c r="E7" i="18"/>
  <c r="F7" i="18" s="1"/>
  <c r="H6" i="18"/>
  <c r="G6" i="18"/>
  <c r="E6" i="18"/>
  <c r="F6" i="18" s="1"/>
  <c r="N6" i="18" s="1"/>
  <c r="H5" i="18"/>
  <c r="G5" i="18"/>
  <c r="F5" i="18"/>
  <c r="I5" i="18" s="1"/>
  <c r="E5" i="18"/>
  <c r="N33" i="18" l="1"/>
  <c r="I33" i="18"/>
  <c r="M33" i="18" s="1"/>
  <c r="N18" i="18"/>
  <c r="I18" i="18"/>
  <c r="M18" i="18" s="1"/>
  <c r="I45" i="18"/>
  <c r="N45" i="18"/>
  <c r="M45" i="18"/>
  <c r="N27" i="18"/>
  <c r="I27" i="18"/>
  <c r="M27" i="18"/>
  <c r="N19" i="18"/>
  <c r="I19" i="18"/>
  <c r="M19" i="18"/>
  <c r="N48" i="18"/>
  <c r="I48" i="18"/>
  <c r="M48" i="18" s="1"/>
  <c r="N22" i="18"/>
  <c r="D143" i="18"/>
  <c r="I22" i="18"/>
  <c r="M22" i="18" s="1"/>
  <c r="N32" i="18"/>
  <c r="I32" i="18"/>
  <c r="M32" i="18" s="1"/>
  <c r="I39" i="18"/>
  <c r="M39" i="18" s="1"/>
  <c r="N39" i="18"/>
  <c r="I110" i="18"/>
  <c r="M110" i="18" s="1"/>
  <c r="N110" i="18"/>
  <c r="N133" i="18"/>
  <c r="I133" i="18"/>
  <c r="M133" i="18" s="1"/>
  <c r="I16" i="18"/>
  <c r="N16" i="18"/>
  <c r="M16" i="18"/>
  <c r="I60" i="18"/>
  <c r="I126" i="18"/>
  <c r="M126" i="18" s="1"/>
  <c r="I25" i="18"/>
  <c r="M25" i="18" s="1"/>
  <c r="N25" i="18"/>
  <c r="N41" i="18"/>
  <c r="I41" i="18"/>
  <c r="M41" i="18" s="1"/>
  <c r="N13" i="18"/>
  <c r="M13" i="18"/>
  <c r="I13" i="18"/>
  <c r="N123" i="18"/>
  <c r="I123" i="18"/>
  <c r="M123" i="18" s="1"/>
  <c r="N20" i="18"/>
  <c r="I20" i="18"/>
  <c r="M20" i="18" s="1"/>
  <c r="E138" i="18"/>
  <c r="N7" i="18"/>
  <c r="I7" i="18"/>
  <c r="M7" i="18" s="1"/>
  <c r="I24" i="18"/>
  <c r="M24" i="18" s="1"/>
  <c r="I36" i="18"/>
  <c r="M36" i="18" s="1"/>
  <c r="I64" i="18"/>
  <c r="M64" i="18" s="1"/>
  <c r="N64" i="18"/>
  <c r="N80" i="18"/>
  <c r="I80" i="18"/>
  <c r="M80" i="18" s="1"/>
  <c r="I12" i="18"/>
  <c r="I21" i="18"/>
  <c r="M21" i="18" s="1"/>
  <c r="I29" i="18"/>
  <c r="M29" i="18" s="1"/>
  <c r="M60" i="18"/>
  <c r="M12" i="18"/>
  <c r="M77" i="18"/>
  <c r="N77" i="18"/>
  <c r="N21" i="18"/>
  <c r="N29" i="18"/>
  <c r="I96" i="18"/>
  <c r="N126" i="18"/>
  <c r="I77" i="18"/>
  <c r="M96" i="18"/>
  <c r="G138" i="18"/>
  <c r="N34" i="18"/>
  <c r="I34" i="18"/>
  <c r="M34" i="18" s="1"/>
  <c r="I93" i="18"/>
  <c r="I42" i="18"/>
  <c r="M42" i="18"/>
  <c r="N42" i="18"/>
  <c r="I74" i="18"/>
  <c r="N74" i="18"/>
  <c r="M74" i="18"/>
  <c r="M93" i="18"/>
  <c r="N120" i="18"/>
  <c r="I120" i="18"/>
  <c r="M120" i="18" s="1"/>
  <c r="N10" i="18"/>
  <c r="I10" i="18"/>
  <c r="M10" i="18" s="1"/>
  <c r="M30" i="18"/>
  <c r="N30" i="18"/>
  <c r="I50" i="18"/>
  <c r="N43" i="18"/>
  <c r="I43" i="18"/>
  <c r="M43" i="18" s="1"/>
  <c r="M50" i="18"/>
  <c r="N136" i="18"/>
  <c r="I136" i="18"/>
  <c r="M136" i="18" s="1"/>
  <c r="I6" i="18"/>
  <c r="N11" i="18"/>
  <c r="I11" i="18"/>
  <c r="M11" i="18" s="1"/>
  <c r="N117" i="18"/>
  <c r="I117" i="18"/>
  <c r="M117" i="18" s="1"/>
  <c r="M6" i="18"/>
  <c r="N83" i="18"/>
  <c r="I83" i="18"/>
  <c r="M83" i="18" s="1"/>
  <c r="N28" i="18"/>
  <c r="M49" i="18"/>
  <c r="F8" i="18"/>
  <c r="I28" i="18"/>
  <c r="M28" i="18" s="1"/>
  <c r="I31" i="18"/>
  <c r="N58" i="18"/>
  <c r="I134" i="18"/>
  <c r="M134" i="18" s="1"/>
  <c r="I101" i="18"/>
  <c r="I40" i="18"/>
  <c r="M55" i="18"/>
  <c r="V55" i="18" s="1"/>
  <c r="M101" i="18"/>
  <c r="N131" i="18"/>
  <c r="I131" i="18"/>
  <c r="M131" i="18" s="1"/>
  <c r="I35" i="18"/>
  <c r="M35" i="18" s="1"/>
  <c r="M40" i="18"/>
  <c r="M46" i="18"/>
  <c r="N55" i="18"/>
  <c r="N72" i="18"/>
  <c r="I85" i="18"/>
  <c r="N49" i="18"/>
  <c r="M85" i="18"/>
  <c r="M88" i="18"/>
  <c r="I102" i="18"/>
  <c r="M102" i="18" s="1"/>
  <c r="N115" i="18"/>
  <c r="I115" i="18"/>
  <c r="M115" i="18" s="1"/>
  <c r="N112" i="18"/>
  <c r="F138" i="18"/>
  <c r="D141" i="18" s="1"/>
  <c r="D150" i="18" s="1"/>
  <c r="M94" i="18"/>
  <c r="I94" i="18"/>
  <c r="N107" i="18"/>
  <c r="I107" i="18"/>
  <c r="M107" i="18" s="1"/>
  <c r="N91" i="18"/>
  <c r="I91" i="18"/>
  <c r="M91" i="18" s="1"/>
  <c r="N14" i="18"/>
  <c r="M14" i="18"/>
  <c r="M31" i="18"/>
  <c r="I37" i="18"/>
  <c r="M37" i="18" s="1"/>
  <c r="N75" i="18"/>
  <c r="I75" i="18"/>
  <c r="M75" i="18" s="1"/>
  <c r="I104" i="18"/>
  <c r="M104" i="18" s="1"/>
  <c r="I118" i="18"/>
  <c r="M118" i="18" s="1"/>
  <c r="M5" i="18"/>
  <c r="I58" i="18"/>
  <c r="M58" i="18" s="1"/>
  <c r="I88" i="18"/>
  <c r="N134" i="18"/>
  <c r="N5" i="18"/>
  <c r="I17" i="18"/>
  <c r="N46" i="18"/>
  <c r="M17" i="18"/>
  <c r="I23" i="18"/>
  <c r="N44" i="18"/>
  <c r="M44" i="18"/>
  <c r="M23" i="18"/>
  <c r="N35" i="18"/>
  <c r="N53" i="18"/>
  <c r="I53" i="18"/>
  <c r="M53" i="18" s="1"/>
  <c r="N69" i="18"/>
  <c r="M69" i="18"/>
  <c r="I72" i="18"/>
  <c r="M72" i="18" s="1"/>
  <c r="I86" i="18"/>
  <c r="M86" i="18" s="1"/>
  <c r="N99" i="18"/>
  <c r="I99" i="18"/>
  <c r="M99" i="18" s="1"/>
  <c r="I128" i="18"/>
  <c r="M128" i="18" s="1"/>
  <c r="N8" i="18" l="1"/>
  <c r="N138" i="18" s="1"/>
  <c r="I8" i="18"/>
  <c r="M8" i="18" s="1"/>
  <c r="M138" i="18" s="1"/>
  <c r="K164" i="18" s="1"/>
  <c r="K165" i="18"/>
  <c r="E153" i="18"/>
  <c r="I138" i="18"/>
  <c r="K169" i="18" l="1"/>
  <c r="M170" i="18" s="1"/>
  <c r="K166" i="18"/>
  <c r="E154" i="18"/>
  <c r="E162" i="18"/>
  <c r="I152" i="18" s="1"/>
  <c r="F7" i="8" l="1"/>
  <c r="S164" i="17"/>
  <c r="S159" i="17"/>
  <c r="Q159" i="17"/>
  <c r="P159" i="17"/>
  <c r="O159" i="17"/>
  <c r="S165" i="17" s="1"/>
  <c r="R152" i="17"/>
  <c r="R159" i="17" s="1"/>
  <c r="L135" i="17"/>
  <c r="K135" i="17"/>
  <c r="J135" i="17"/>
  <c r="D135" i="17"/>
  <c r="H134" i="17"/>
  <c r="G134" i="17"/>
  <c r="F134" i="17"/>
  <c r="N134" i="17" s="1"/>
  <c r="H133" i="17"/>
  <c r="G133" i="17"/>
  <c r="F133" i="17"/>
  <c r="N132" i="17"/>
  <c r="I132" i="17"/>
  <c r="M132" i="17" s="1"/>
  <c r="H132" i="17"/>
  <c r="G132" i="17"/>
  <c r="F132" i="17"/>
  <c r="H131" i="17"/>
  <c r="G131" i="17"/>
  <c r="F131" i="17"/>
  <c r="I131" i="17" s="1"/>
  <c r="H130" i="17"/>
  <c r="G130" i="17"/>
  <c r="F130" i="17"/>
  <c r="N130" i="17" s="1"/>
  <c r="N129" i="17"/>
  <c r="H129" i="17"/>
  <c r="G129" i="17"/>
  <c r="F129" i="17"/>
  <c r="H128" i="17"/>
  <c r="G128" i="17"/>
  <c r="F128" i="17"/>
  <c r="N127" i="17"/>
  <c r="I127" i="17"/>
  <c r="M127" i="17" s="1"/>
  <c r="H127" i="17"/>
  <c r="G127" i="17"/>
  <c r="F127" i="17"/>
  <c r="H126" i="17"/>
  <c r="G126" i="17"/>
  <c r="F126" i="17"/>
  <c r="N126" i="17" s="1"/>
  <c r="H125" i="17"/>
  <c r="G125" i="17"/>
  <c r="F125" i="17"/>
  <c r="N124" i="17"/>
  <c r="I124" i="17"/>
  <c r="M124" i="17" s="1"/>
  <c r="H124" i="17"/>
  <c r="G124" i="17"/>
  <c r="F124" i="17"/>
  <c r="H123" i="17"/>
  <c r="G123" i="17"/>
  <c r="F123" i="17"/>
  <c r="N123" i="17" s="1"/>
  <c r="H122" i="17"/>
  <c r="G122" i="17"/>
  <c r="F122" i="17"/>
  <c r="N122" i="17" s="1"/>
  <c r="N121" i="17"/>
  <c r="H121" i="17"/>
  <c r="G121" i="17"/>
  <c r="F121" i="17"/>
  <c r="H120" i="17"/>
  <c r="G120" i="17"/>
  <c r="F120" i="17"/>
  <c r="N119" i="17"/>
  <c r="M119" i="17"/>
  <c r="I119" i="17"/>
  <c r="H119" i="17"/>
  <c r="G119" i="17"/>
  <c r="F119" i="17"/>
  <c r="H118" i="17"/>
  <c r="G118" i="17"/>
  <c r="F118" i="17"/>
  <c r="N118" i="17" s="1"/>
  <c r="H117" i="17"/>
  <c r="G117" i="17"/>
  <c r="F117" i="17"/>
  <c r="N116" i="17"/>
  <c r="I116" i="17"/>
  <c r="M116" i="17" s="1"/>
  <c r="H116" i="17"/>
  <c r="G116" i="17"/>
  <c r="F116" i="17"/>
  <c r="H115" i="17"/>
  <c r="G115" i="17"/>
  <c r="F115" i="17"/>
  <c r="I115" i="17" s="1"/>
  <c r="H114" i="17"/>
  <c r="G114" i="17"/>
  <c r="F114" i="17"/>
  <c r="N114" i="17" s="1"/>
  <c r="N113" i="17"/>
  <c r="H113" i="17"/>
  <c r="G113" i="17"/>
  <c r="F113" i="17"/>
  <c r="H112" i="17"/>
  <c r="G112" i="17"/>
  <c r="F112" i="17"/>
  <c r="N111" i="17"/>
  <c r="I111" i="17"/>
  <c r="H111" i="17"/>
  <c r="G111" i="17"/>
  <c r="M111" i="17" s="1"/>
  <c r="F111" i="17"/>
  <c r="H110" i="17"/>
  <c r="G110" i="17"/>
  <c r="F110" i="17"/>
  <c r="N110" i="17" s="1"/>
  <c r="H109" i="17"/>
  <c r="G109" i="17"/>
  <c r="F109" i="17"/>
  <c r="N108" i="17"/>
  <c r="I108" i="17"/>
  <c r="M108" i="17" s="1"/>
  <c r="H108" i="17"/>
  <c r="G108" i="17"/>
  <c r="F108" i="17"/>
  <c r="H107" i="17"/>
  <c r="G107" i="17"/>
  <c r="F107" i="17"/>
  <c r="I107" i="17" s="1"/>
  <c r="H106" i="17"/>
  <c r="G106" i="17"/>
  <c r="F106" i="17"/>
  <c r="N106" i="17" s="1"/>
  <c r="N105" i="17"/>
  <c r="H105" i="17"/>
  <c r="G105" i="17"/>
  <c r="F105" i="17"/>
  <c r="H104" i="17"/>
  <c r="G104" i="17"/>
  <c r="F104" i="17"/>
  <c r="I103" i="17"/>
  <c r="H103" i="17"/>
  <c r="N103" i="17" s="1"/>
  <c r="G103" i="17"/>
  <c r="M103" i="17" s="1"/>
  <c r="F103" i="17"/>
  <c r="H102" i="17"/>
  <c r="G102" i="17"/>
  <c r="F102" i="17"/>
  <c r="N102" i="17" s="1"/>
  <c r="H101" i="17"/>
  <c r="G101" i="17"/>
  <c r="F101" i="17"/>
  <c r="N100" i="17"/>
  <c r="I100" i="17"/>
  <c r="M100" i="17" s="1"/>
  <c r="H100" i="17"/>
  <c r="G100" i="17"/>
  <c r="F100" i="17"/>
  <c r="H99" i="17"/>
  <c r="G99" i="17"/>
  <c r="F99" i="17"/>
  <c r="I99" i="17" s="1"/>
  <c r="H98" i="17"/>
  <c r="G98" i="17"/>
  <c r="F98" i="17"/>
  <c r="N98" i="17" s="1"/>
  <c r="N97" i="17"/>
  <c r="H97" i="17"/>
  <c r="G97" i="17"/>
  <c r="F97" i="17"/>
  <c r="H96" i="17"/>
  <c r="G96" i="17"/>
  <c r="F96" i="17"/>
  <c r="I95" i="17"/>
  <c r="H95" i="17"/>
  <c r="N95" i="17" s="1"/>
  <c r="G95" i="17"/>
  <c r="M95" i="17" s="1"/>
  <c r="F95" i="17"/>
  <c r="H94" i="17"/>
  <c r="G94" i="17"/>
  <c r="F94" i="17"/>
  <c r="N94" i="17" s="1"/>
  <c r="H93" i="17"/>
  <c r="G93" i="17"/>
  <c r="F93" i="17"/>
  <c r="N92" i="17"/>
  <c r="I92" i="17"/>
  <c r="M92" i="17" s="1"/>
  <c r="H92" i="17"/>
  <c r="G92" i="17"/>
  <c r="F92" i="17"/>
  <c r="H91" i="17"/>
  <c r="G91" i="17"/>
  <c r="F91" i="17"/>
  <c r="I91" i="17" s="1"/>
  <c r="I90" i="17"/>
  <c r="H90" i="17"/>
  <c r="N90" i="17" s="1"/>
  <c r="G90" i="17"/>
  <c r="M90" i="17" s="1"/>
  <c r="N89" i="17"/>
  <c r="M89" i="17"/>
  <c r="I89" i="17"/>
  <c r="H89" i="17"/>
  <c r="G89" i="17"/>
  <c r="I88" i="17"/>
  <c r="H88" i="17"/>
  <c r="N88" i="17" s="1"/>
  <c r="G88" i="17"/>
  <c r="M88" i="17" s="1"/>
  <c r="I87" i="17"/>
  <c r="H87" i="17"/>
  <c r="N87" i="17" s="1"/>
  <c r="G87" i="17"/>
  <c r="M87" i="17" s="1"/>
  <c r="N86" i="17"/>
  <c r="I86" i="17"/>
  <c r="M86" i="17" s="1"/>
  <c r="H86" i="17"/>
  <c r="G86" i="17"/>
  <c r="I85" i="17"/>
  <c r="H85" i="17"/>
  <c r="N85" i="17" s="1"/>
  <c r="G85" i="17"/>
  <c r="M85" i="17" s="1"/>
  <c r="I84" i="17"/>
  <c r="H84" i="17"/>
  <c r="N84" i="17" s="1"/>
  <c r="G84" i="17"/>
  <c r="M84" i="17" s="1"/>
  <c r="I83" i="17"/>
  <c r="M83" i="17" s="1"/>
  <c r="H83" i="17"/>
  <c r="N83" i="17" s="1"/>
  <c r="G83" i="17"/>
  <c r="I82" i="17"/>
  <c r="H82" i="17"/>
  <c r="N82" i="17" s="1"/>
  <c r="G82" i="17"/>
  <c r="M82" i="17" s="1"/>
  <c r="I81" i="17"/>
  <c r="H81" i="17"/>
  <c r="N81" i="17" s="1"/>
  <c r="G81" i="17"/>
  <c r="M81" i="17" s="1"/>
  <c r="I80" i="17"/>
  <c r="H80" i="17"/>
  <c r="N80" i="17" s="1"/>
  <c r="G80" i="17"/>
  <c r="M80" i="17" s="1"/>
  <c r="I79" i="17"/>
  <c r="H79" i="17"/>
  <c r="N79" i="17" s="1"/>
  <c r="G79" i="17"/>
  <c r="M79" i="17" s="1"/>
  <c r="I78" i="17"/>
  <c r="H78" i="17"/>
  <c r="N78" i="17" s="1"/>
  <c r="G78" i="17"/>
  <c r="M78" i="17" s="1"/>
  <c r="I77" i="17"/>
  <c r="H77" i="17"/>
  <c r="N77" i="17" s="1"/>
  <c r="G77" i="17"/>
  <c r="M77" i="17" s="1"/>
  <c r="N76" i="17"/>
  <c r="I76" i="17"/>
  <c r="H76" i="17"/>
  <c r="G76" i="17"/>
  <c r="M76" i="17" s="1"/>
  <c r="I75" i="17"/>
  <c r="H75" i="17"/>
  <c r="N75" i="17" s="1"/>
  <c r="G75" i="17"/>
  <c r="M75" i="17" s="1"/>
  <c r="I74" i="17"/>
  <c r="H74" i="17"/>
  <c r="N74" i="17" s="1"/>
  <c r="G74" i="17"/>
  <c r="M74" i="17" s="1"/>
  <c r="N73" i="17"/>
  <c r="M73" i="17"/>
  <c r="I73" i="17"/>
  <c r="H73" i="17"/>
  <c r="G73" i="17"/>
  <c r="I72" i="17"/>
  <c r="H72" i="17"/>
  <c r="N72" i="17" s="1"/>
  <c r="G72" i="17"/>
  <c r="M72" i="17" s="1"/>
  <c r="I71" i="17"/>
  <c r="H71" i="17"/>
  <c r="N71" i="17" s="1"/>
  <c r="G71" i="17"/>
  <c r="N70" i="17"/>
  <c r="I70" i="17"/>
  <c r="M70" i="17" s="1"/>
  <c r="H70" i="17"/>
  <c r="G70" i="17"/>
  <c r="I69" i="17"/>
  <c r="H69" i="17"/>
  <c r="N69" i="17" s="1"/>
  <c r="G69" i="17"/>
  <c r="M69" i="17" s="1"/>
  <c r="I68" i="17"/>
  <c r="H68" i="17"/>
  <c r="N68" i="17" s="1"/>
  <c r="G68" i="17"/>
  <c r="M68" i="17" s="1"/>
  <c r="I67" i="17"/>
  <c r="M67" i="17" s="1"/>
  <c r="H67" i="17"/>
  <c r="N67" i="17" s="1"/>
  <c r="G67" i="17"/>
  <c r="I66" i="17"/>
  <c r="H66" i="17"/>
  <c r="N66" i="17" s="1"/>
  <c r="G66" i="17"/>
  <c r="M66" i="17" s="1"/>
  <c r="I65" i="17"/>
  <c r="H65" i="17"/>
  <c r="N65" i="17" s="1"/>
  <c r="G65" i="17"/>
  <c r="M65" i="17" s="1"/>
  <c r="I64" i="17"/>
  <c r="H64" i="17"/>
  <c r="N64" i="17" s="1"/>
  <c r="G64" i="17"/>
  <c r="M64" i="17" s="1"/>
  <c r="I63" i="17"/>
  <c r="H63" i="17"/>
  <c r="N63" i="17" s="1"/>
  <c r="G63" i="17"/>
  <c r="M63" i="17" s="1"/>
  <c r="I62" i="17"/>
  <c r="H62" i="17"/>
  <c r="N62" i="17" s="1"/>
  <c r="G62" i="17"/>
  <c r="M62" i="17" s="1"/>
  <c r="I61" i="17"/>
  <c r="H61" i="17"/>
  <c r="N61" i="17" s="1"/>
  <c r="G61" i="17"/>
  <c r="M61" i="17" s="1"/>
  <c r="N60" i="17"/>
  <c r="I60" i="17"/>
  <c r="H60" i="17"/>
  <c r="G60" i="17"/>
  <c r="M60" i="17" s="1"/>
  <c r="I59" i="17"/>
  <c r="H59" i="17"/>
  <c r="N59" i="17" s="1"/>
  <c r="G59" i="17"/>
  <c r="M59" i="17" s="1"/>
  <c r="I58" i="17"/>
  <c r="M58" i="17" s="1"/>
  <c r="H58" i="17"/>
  <c r="N58" i="17" s="1"/>
  <c r="G58" i="17"/>
  <c r="N57" i="17"/>
  <c r="M57" i="17"/>
  <c r="I57" i="17"/>
  <c r="H57" i="17"/>
  <c r="G57" i="17"/>
  <c r="I56" i="17"/>
  <c r="H56" i="17"/>
  <c r="N56" i="17" s="1"/>
  <c r="G56" i="17"/>
  <c r="M56" i="17" s="1"/>
  <c r="V56" i="17" s="1"/>
  <c r="I55" i="17"/>
  <c r="H55" i="17"/>
  <c r="N55" i="17" s="1"/>
  <c r="G55" i="17"/>
  <c r="M55" i="17" s="1"/>
  <c r="N54" i="17"/>
  <c r="M54" i="17"/>
  <c r="I54" i="17"/>
  <c r="H54" i="17"/>
  <c r="G54" i="17"/>
  <c r="I53" i="17"/>
  <c r="H53" i="17"/>
  <c r="N53" i="17" s="1"/>
  <c r="G53" i="17"/>
  <c r="M53" i="17" s="1"/>
  <c r="I52" i="17"/>
  <c r="H52" i="17"/>
  <c r="N52" i="17" s="1"/>
  <c r="G52" i="17"/>
  <c r="M52" i="17" s="1"/>
  <c r="N51" i="17"/>
  <c r="I51" i="17"/>
  <c r="M51" i="17" s="1"/>
  <c r="H51" i="17"/>
  <c r="G51" i="17"/>
  <c r="F51" i="17"/>
  <c r="E51" i="17"/>
  <c r="H50" i="17"/>
  <c r="G50" i="17"/>
  <c r="E50" i="17"/>
  <c r="F50" i="17" s="1"/>
  <c r="I49" i="17"/>
  <c r="H49" i="17"/>
  <c r="N49" i="17" s="1"/>
  <c r="G49" i="17"/>
  <c r="M49" i="17" s="1"/>
  <c r="F49" i="17"/>
  <c r="E49" i="17"/>
  <c r="I48" i="17"/>
  <c r="H48" i="17"/>
  <c r="N48" i="17" s="1"/>
  <c r="G48" i="17"/>
  <c r="M48" i="17" s="1"/>
  <c r="H47" i="17"/>
  <c r="G47" i="17"/>
  <c r="F47" i="17"/>
  <c r="E47" i="17"/>
  <c r="H46" i="17"/>
  <c r="G46" i="17"/>
  <c r="E46" i="17"/>
  <c r="F46" i="17" s="1"/>
  <c r="I46" i="17" s="1"/>
  <c r="H45" i="17"/>
  <c r="G45" i="17"/>
  <c r="E45" i="17"/>
  <c r="F45" i="17" s="1"/>
  <c r="H44" i="17"/>
  <c r="G44" i="17"/>
  <c r="E44" i="17"/>
  <c r="F44" i="17" s="1"/>
  <c r="N44" i="17" s="1"/>
  <c r="H43" i="17"/>
  <c r="G43" i="17"/>
  <c r="E43" i="17"/>
  <c r="F43" i="17" s="1"/>
  <c r="H42" i="17"/>
  <c r="G42" i="17"/>
  <c r="F42" i="17"/>
  <c r="N42" i="17" s="1"/>
  <c r="E42" i="17"/>
  <c r="H41" i="17"/>
  <c r="G41" i="17"/>
  <c r="E41" i="17"/>
  <c r="F41" i="17" s="1"/>
  <c r="I40" i="17"/>
  <c r="H40" i="17"/>
  <c r="G40" i="17"/>
  <c r="F40" i="17"/>
  <c r="E40" i="17"/>
  <c r="H39" i="17"/>
  <c r="G39" i="17"/>
  <c r="E39" i="17"/>
  <c r="F39" i="17" s="1"/>
  <c r="H38" i="17"/>
  <c r="G38" i="17"/>
  <c r="E38" i="17"/>
  <c r="F38" i="17" s="1"/>
  <c r="N37" i="17"/>
  <c r="I37" i="17"/>
  <c r="M37" i="17" s="1"/>
  <c r="H37" i="17"/>
  <c r="G37" i="17"/>
  <c r="F37" i="17"/>
  <c r="E37" i="17"/>
  <c r="H36" i="17"/>
  <c r="G36" i="17"/>
  <c r="E36" i="17"/>
  <c r="F36" i="17" s="1"/>
  <c r="H35" i="17"/>
  <c r="G35" i="17"/>
  <c r="E35" i="17"/>
  <c r="F35" i="17" s="1"/>
  <c r="N35" i="17" s="1"/>
  <c r="H34" i="17"/>
  <c r="G34" i="17"/>
  <c r="E34" i="17"/>
  <c r="F34" i="17" s="1"/>
  <c r="H33" i="17"/>
  <c r="H135" i="17" s="1"/>
  <c r="G33" i="17"/>
  <c r="E33" i="17"/>
  <c r="F33" i="17" s="1"/>
  <c r="H32" i="17"/>
  <c r="G32" i="17"/>
  <c r="E32" i="17"/>
  <c r="F32" i="17" s="1"/>
  <c r="H31" i="17"/>
  <c r="G31" i="17"/>
  <c r="E31" i="17"/>
  <c r="F31" i="17" s="1"/>
  <c r="H30" i="17"/>
  <c r="G30" i="17"/>
  <c r="E30" i="17"/>
  <c r="F30" i="17" s="1"/>
  <c r="I30" i="17" s="1"/>
  <c r="H29" i="17"/>
  <c r="G29" i="17"/>
  <c r="E29" i="17"/>
  <c r="F29" i="17" s="1"/>
  <c r="H28" i="17"/>
  <c r="G28" i="17"/>
  <c r="E28" i="17"/>
  <c r="F28" i="17" s="1"/>
  <c r="H27" i="17"/>
  <c r="G27" i="17"/>
  <c r="E27" i="17"/>
  <c r="F27" i="17" s="1"/>
  <c r="N26" i="17"/>
  <c r="I26" i="17"/>
  <c r="M26" i="17" s="1"/>
  <c r="H26" i="17"/>
  <c r="G26" i="17"/>
  <c r="F26" i="17"/>
  <c r="E26" i="17"/>
  <c r="H25" i="17"/>
  <c r="G25" i="17"/>
  <c r="E25" i="17"/>
  <c r="F25" i="17" s="1"/>
  <c r="H24" i="17"/>
  <c r="G24" i="17"/>
  <c r="E24" i="17"/>
  <c r="F24" i="17" s="1"/>
  <c r="H23" i="17"/>
  <c r="G23" i="17"/>
  <c r="E23" i="17"/>
  <c r="F23" i="17" s="1"/>
  <c r="H22" i="17"/>
  <c r="G22" i="17"/>
  <c r="E22" i="17"/>
  <c r="F22" i="17" s="1"/>
  <c r="N21" i="17"/>
  <c r="I21" i="17"/>
  <c r="M21" i="17" s="1"/>
  <c r="H21" i="17"/>
  <c r="G21" i="17"/>
  <c r="F21" i="17"/>
  <c r="E21" i="17"/>
  <c r="H20" i="17"/>
  <c r="G20" i="17"/>
  <c r="E20" i="17"/>
  <c r="F20" i="17" s="1"/>
  <c r="N19" i="17"/>
  <c r="I19" i="17"/>
  <c r="H19" i="17"/>
  <c r="G19" i="17"/>
  <c r="M19" i="17" s="1"/>
  <c r="F19" i="17"/>
  <c r="E19" i="17"/>
  <c r="H18" i="17"/>
  <c r="G18" i="17"/>
  <c r="E18" i="17"/>
  <c r="F18" i="17" s="1"/>
  <c r="H17" i="17"/>
  <c r="G17" i="17"/>
  <c r="E17" i="17"/>
  <c r="F17" i="17" s="1"/>
  <c r="H16" i="17"/>
  <c r="G16" i="17"/>
  <c r="E16" i="17"/>
  <c r="F16" i="17" s="1"/>
  <c r="H15" i="17"/>
  <c r="G15" i="17"/>
  <c r="E15" i="17"/>
  <c r="F15" i="17" s="1"/>
  <c r="H14" i="17"/>
  <c r="G14" i="17"/>
  <c r="E14" i="17"/>
  <c r="F14" i="17" s="1"/>
  <c r="I14" i="17" s="1"/>
  <c r="I13" i="17"/>
  <c r="H13" i="17"/>
  <c r="N13" i="17" s="1"/>
  <c r="G13" i="17"/>
  <c r="M13" i="17" s="1"/>
  <c r="H12" i="17"/>
  <c r="G12" i="17"/>
  <c r="F12" i="17"/>
  <c r="N12" i="17" s="1"/>
  <c r="E12" i="17"/>
  <c r="H11" i="17"/>
  <c r="G11" i="17"/>
  <c r="E11" i="17"/>
  <c r="F11" i="17" s="1"/>
  <c r="H10" i="17"/>
  <c r="G10" i="17"/>
  <c r="E10" i="17"/>
  <c r="F10" i="17" s="1"/>
  <c r="H9" i="17"/>
  <c r="G9" i="17"/>
  <c r="E9" i="17"/>
  <c r="F9" i="17" s="1"/>
  <c r="H8" i="17"/>
  <c r="G8" i="17"/>
  <c r="E8" i="17"/>
  <c r="F8" i="17" s="1"/>
  <c r="N7" i="17"/>
  <c r="I7" i="17"/>
  <c r="M7" i="17" s="1"/>
  <c r="H7" i="17"/>
  <c r="G7" i="17"/>
  <c r="F7" i="17"/>
  <c r="E7" i="17"/>
  <c r="H6" i="17"/>
  <c r="G6" i="17"/>
  <c r="E6" i="17"/>
  <c r="E135" i="17" s="1"/>
  <c r="I5" i="17"/>
  <c r="H5" i="17"/>
  <c r="N5" i="17" s="1"/>
  <c r="G5" i="17"/>
  <c r="M5" i="17" s="1"/>
  <c r="F5" i="17"/>
  <c r="E5" i="17"/>
  <c r="C1" i="8"/>
  <c r="C37" i="1"/>
  <c r="C35" i="1"/>
  <c r="N33" i="17" l="1"/>
  <c r="I33" i="17"/>
  <c r="M33" i="17" s="1"/>
  <c r="N10" i="17"/>
  <c r="I10" i="17"/>
  <c r="M10" i="17" s="1"/>
  <c r="I38" i="17"/>
  <c r="M38" i="17" s="1"/>
  <c r="N38" i="17"/>
  <c r="I29" i="17"/>
  <c r="N29" i="17"/>
  <c r="M29" i="17"/>
  <c r="N17" i="17"/>
  <c r="I17" i="17"/>
  <c r="M17" i="17" s="1"/>
  <c r="N31" i="17"/>
  <c r="I31" i="17"/>
  <c r="M31" i="17" s="1"/>
  <c r="N8" i="17"/>
  <c r="I8" i="17"/>
  <c r="M8" i="17"/>
  <c r="D139" i="17"/>
  <c r="N20" i="17"/>
  <c r="I20" i="17"/>
  <c r="M20" i="17" s="1"/>
  <c r="N45" i="17"/>
  <c r="I45" i="17"/>
  <c r="M45" i="17"/>
  <c r="I22" i="17"/>
  <c r="M22" i="17" s="1"/>
  <c r="N22" i="17"/>
  <c r="D140" i="17"/>
  <c r="N15" i="17"/>
  <c r="I15" i="17"/>
  <c r="M15" i="17" s="1"/>
  <c r="N24" i="17"/>
  <c r="I24" i="17"/>
  <c r="M24" i="17" s="1"/>
  <c r="M30" i="17"/>
  <c r="N93" i="17"/>
  <c r="I93" i="17"/>
  <c r="M93" i="17"/>
  <c r="M121" i="17"/>
  <c r="N11" i="17"/>
  <c r="M11" i="17"/>
  <c r="I11" i="17"/>
  <c r="I117" i="17"/>
  <c r="M117" i="17" s="1"/>
  <c r="N117" i="17"/>
  <c r="N14" i="17"/>
  <c r="N125" i="17"/>
  <c r="I125" i="17"/>
  <c r="M125" i="17" s="1"/>
  <c r="I28" i="17"/>
  <c r="M28" i="17" s="1"/>
  <c r="I98" i="17"/>
  <c r="N28" i="17"/>
  <c r="M106" i="17"/>
  <c r="I122" i="17"/>
  <c r="M122" i="17" s="1"/>
  <c r="I104" i="17"/>
  <c r="N104" i="17"/>
  <c r="M104" i="17"/>
  <c r="N112" i="17"/>
  <c r="I112" i="17"/>
  <c r="M112" i="17" s="1"/>
  <c r="G135" i="17"/>
  <c r="I27" i="17"/>
  <c r="M27" i="17"/>
  <c r="N27" i="17"/>
  <c r="I44" i="17"/>
  <c r="M44" i="17" s="1"/>
  <c r="I109" i="17"/>
  <c r="N109" i="17"/>
  <c r="M109" i="17"/>
  <c r="M14" i="17"/>
  <c r="N133" i="17"/>
  <c r="I133" i="17"/>
  <c r="M133" i="17" s="1"/>
  <c r="I35" i="17"/>
  <c r="M35" i="17" s="1"/>
  <c r="N32" i="17"/>
  <c r="I32" i="17"/>
  <c r="M32" i="17" s="1"/>
  <c r="I39" i="17"/>
  <c r="M39" i="17" s="1"/>
  <c r="I106" i="17"/>
  <c r="N39" i="17"/>
  <c r="I130" i="17"/>
  <c r="M130" i="17" s="1"/>
  <c r="I23" i="17"/>
  <c r="M23" i="17" s="1"/>
  <c r="I47" i="17"/>
  <c r="M47" i="17"/>
  <c r="N47" i="17"/>
  <c r="M97" i="17"/>
  <c r="N23" i="17"/>
  <c r="N34" i="17"/>
  <c r="I34" i="17"/>
  <c r="M34" i="17" s="1"/>
  <c r="N30" i="17"/>
  <c r="I101" i="17"/>
  <c r="N101" i="17"/>
  <c r="M101" i="17"/>
  <c r="M113" i="17"/>
  <c r="N25" i="17"/>
  <c r="I25" i="17"/>
  <c r="M25" i="17" s="1"/>
  <c r="I42" i="17"/>
  <c r="M42" i="17" s="1"/>
  <c r="M98" i="17"/>
  <c r="I9" i="17"/>
  <c r="M9" i="17" s="1"/>
  <c r="I12" i="17"/>
  <c r="N16" i="17"/>
  <c r="I16" i="17"/>
  <c r="M16" i="17"/>
  <c r="I43" i="17"/>
  <c r="M43" i="17" s="1"/>
  <c r="N43" i="17"/>
  <c r="I50" i="17"/>
  <c r="M50" i="17" s="1"/>
  <c r="N50" i="17"/>
  <c r="F6" i="17"/>
  <c r="M12" i="17"/>
  <c r="N46" i="17"/>
  <c r="N120" i="17"/>
  <c r="I120" i="17"/>
  <c r="M120" i="17" s="1"/>
  <c r="N41" i="17"/>
  <c r="I41" i="17"/>
  <c r="M41" i="17" s="1"/>
  <c r="N128" i="17"/>
  <c r="I128" i="17"/>
  <c r="M128" i="17" s="1"/>
  <c r="N18" i="17"/>
  <c r="I18" i="17"/>
  <c r="M18" i="17" s="1"/>
  <c r="I114" i="17"/>
  <c r="M114" i="17" s="1"/>
  <c r="I36" i="17"/>
  <c r="M36" i="17" s="1"/>
  <c r="N36" i="17"/>
  <c r="M46" i="17"/>
  <c r="N9" i="17"/>
  <c r="D141" i="17"/>
  <c r="M40" i="17"/>
  <c r="N40" i="17"/>
  <c r="M71" i="17"/>
  <c r="I96" i="17"/>
  <c r="N96" i="17"/>
  <c r="M96" i="17"/>
  <c r="I123" i="17"/>
  <c r="M123" i="17" s="1"/>
  <c r="M91" i="17"/>
  <c r="M99" i="17"/>
  <c r="M107" i="17"/>
  <c r="M115" i="17"/>
  <c r="M131" i="17"/>
  <c r="N91" i="17"/>
  <c r="I94" i="17"/>
  <c r="N99" i="17"/>
  <c r="I102" i="17"/>
  <c r="M102" i="17" s="1"/>
  <c r="N107" i="17"/>
  <c r="I110" i="17"/>
  <c r="M110" i="17" s="1"/>
  <c r="N115" i="17"/>
  <c r="I118" i="17"/>
  <c r="M118" i="17" s="1"/>
  <c r="I126" i="17"/>
  <c r="M126" i="17" s="1"/>
  <c r="N131" i="17"/>
  <c r="I134" i="17"/>
  <c r="M134" i="17" s="1"/>
  <c r="M94" i="17"/>
  <c r="I97" i="17"/>
  <c r="I105" i="17"/>
  <c r="M105" i="17" s="1"/>
  <c r="I113" i="17"/>
  <c r="I121" i="17"/>
  <c r="I129" i="17"/>
  <c r="M129" i="17" s="1"/>
  <c r="S132" i="7"/>
  <c r="S127" i="7"/>
  <c r="Q127" i="7"/>
  <c r="P127" i="7"/>
  <c r="O127" i="7"/>
  <c r="S133" i="7" s="1"/>
  <c r="O124" i="7"/>
  <c r="R122" i="7"/>
  <c r="R127" i="7" s="1"/>
  <c r="O117" i="7"/>
  <c r="D110" i="7"/>
  <c r="L105" i="7"/>
  <c r="K105" i="7"/>
  <c r="J105" i="7"/>
  <c r="H105" i="7"/>
  <c r="D109" i="7" s="1"/>
  <c r="E105" i="7"/>
  <c r="I103" i="7"/>
  <c r="H103" i="7"/>
  <c r="N103" i="7" s="1"/>
  <c r="G103" i="7"/>
  <c r="M103" i="7" s="1"/>
  <c r="H102" i="7"/>
  <c r="G102" i="7"/>
  <c r="F102" i="7"/>
  <c r="I101" i="7"/>
  <c r="M101" i="7" s="1"/>
  <c r="H101" i="7"/>
  <c r="G101" i="7"/>
  <c r="F101" i="7"/>
  <c r="H100" i="7"/>
  <c r="G100" i="7"/>
  <c r="F100" i="7"/>
  <c r="I99" i="7"/>
  <c r="H99" i="7"/>
  <c r="N99" i="7" s="1"/>
  <c r="G99" i="7"/>
  <c r="M99" i="7" s="1"/>
  <c r="M98" i="7"/>
  <c r="I98" i="7"/>
  <c r="H98" i="7"/>
  <c r="N98" i="7" s="1"/>
  <c r="G98" i="7"/>
  <c r="N97" i="7"/>
  <c r="I97" i="7"/>
  <c r="H97" i="7"/>
  <c r="G97" i="7"/>
  <c r="M97" i="7" s="1"/>
  <c r="I96" i="7"/>
  <c r="H96" i="7"/>
  <c r="N96" i="7" s="1"/>
  <c r="G96" i="7"/>
  <c r="M96" i="7" s="1"/>
  <c r="N95" i="7"/>
  <c r="I95" i="7"/>
  <c r="H95" i="7"/>
  <c r="G95" i="7"/>
  <c r="M95" i="7" s="1"/>
  <c r="M94" i="7"/>
  <c r="I94" i="7"/>
  <c r="H94" i="7"/>
  <c r="N94" i="7" s="1"/>
  <c r="G94" i="7"/>
  <c r="I93" i="7"/>
  <c r="H93" i="7"/>
  <c r="N93" i="7" s="1"/>
  <c r="G93" i="7"/>
  <c r="M93" i="7" s="1"/>
  <c r="I92" i="7"/>
  <c r="H92" i="7"/>
  <c r="N92" i="7" s="1"/>
  <c r="G92" i="7"/>
  <c r="M92" i="7" s="1"/>
  <c r="N91" i="7"/>
  <c r="I91" i="7"/>
  <c r="H91" i="7"/>
  <c r="G91" i="7"/>
  <c r="M91" i="7" s="1"/>
  <c r="I90" i="7"/>
  <c r="H90" i="7"/>
  <c r="N90" i="7" s="1"/>
  <c r="G90" i="7"/>
  <c r="M90" i="7" s="1"/>
  <c r="I89" i="7"/>
  <c r="H89" i="7"/>
  <c r="N89" i="7" s="1"/>
  <c r="G89" i="7"/>
  <c r="M89" i="7" s="1"/>
  <c r="N88" i="7"/>
  <c r="M88" i="7"/>
  <c r="I88" i="7"/>
  <c r="H88" i="7"/>
  <c r="G88" i="7"/>
  <c r="I87" i="7"/>
  <c r="H87" i="7"/>
  <c r="N87" i="7" s="1"/>
  <c r="G87" i="7"/>
  <c r="M87" i="7" s="1"/>
  <c r="I86" i="7"/>
  <c r="H86" i="7"/>
  <c r="N86" i="7" s="1"/>
  <c r="G86" i="7"/>
  <c r="M86" i="7" s="1"/>
  <c r="N85" i="7"/>
  <c r="I85" i="7"/>
  <c r="M85" i="7" s="1"/>
  <c r="H85" i="7"/>
  <c r="G85" i="7"/>
  <c r="I84" i="7"/>
  <c r="H84" i="7"/>
  <c r="N84" i="7" s="1"/>
  <c r="G84" i="7"/>
  <c r="M84" i="7" s="1"/>
  <c r="I83" i="7"/>
  <c r="H83" i="7"/>
  <c r="N83" i="7" s="1"/>
  <c r="G83" i="7"/>
  <c r="M83" i="7" s="1"/>
  <c r="N82" i="7"/>
  <c r="M82" i="7"/>
  <c r="I82" i="7"/>
  <c r="H82" i="7"/>
  <c r="G82" i="7"/>
  <c r="N81" i="7"/>
  <c r="I81" i="7"/>
  <c r="H81" i="7"/>
  <c r="G81" i="7"/>
  <c r="M81" i="7" s="1"/>
  <c r="I80" i="7"/>
  <c r="H80" i="7"/>
  <c r="N80" i="7" s="1"/>
  <c r="G80" i="7"/>
  <c r="M80" i="7" s="1"/>
  <c r="I79" i="7"/>
  <c r="H79" i="7"/>
  <c r="N79" i="7" s="1"/>
  <c r="G79" i="7"/>
  <c r="M79" i="7" s="1"/>
  <c r="M78" i="7"/>
  <c r="I78" i="7"/>
  <c r="H78" i="7"/>
  <c r="N78" i="7" s="1"/>
  <c r="G78" i="7"/>
  <c r="I77" i="7"/>
  <c r="H77" i="7"/>
  <c r="N77" i="7" s="1"/>
  <c r="G77" i="7"/>
  <c r="M77" i="7" s="1"/>
  <c r="I76" i="7"/>
  <c r="H76" i="7"/>
  <c r="N76" i="7" s="1"/>
  <c r="G76" i="7"/>
  <c r="M76" i="7" s="1"/>
  <c r="N75" i="7"/>
  <c r="I75" i="7"/>
  <c r="H75" i="7"/>
  <c r="G75" i="7"/>
  <c r="M75" i="7" s="1"/>
  <c r="I74" i="7"/>
  <c r="H74" i="7"/>
  <c r="N74" i="7" s="1"/>
  <c r="G74" i="7"/>
  <c r="M74" i="7" s="1"/>
  <c r="I73" i="7"/>
  <c r="H73" i="7"/>
  <c r="N73" i="7" s="1"/>
  <c r="G73" i="7"/>
  <c r="N72" i="7"/>
  <c r="M72" i="7"/>
  <c r="I72" i="7"/>
  <c r="H72" i="7"/>
  <c r="G72" i="7"/>
  <c r="I71" i="7"/>
  <c r="H71" i="7"/>
  <c r="N71" i="7" s="1"/>
  <c r="G71" i="7"/>
  <c r="M71" i="7" s="1"/>
  <c r="I70" i="7"/>
  <c r="H70" i="7"/>
  <c r="N70" i="7" s="1"/>
  <c r="G70" i="7"/>
  <c r="M70" i="7" s="1"/>
  <c r="N69" i="7"/>
  <c r="I69" i="7"/>
  <c r="M69" i="7" s="1"/>
  <c r="H69" i="7"/>
  <c r="G69" i="7"/>
  <c r="I68" i="7"/>
  <c r="H68" i="7"/>
  <c r="N68" i="7" s="1"/>
  <c r="G68" i="7"/>
  <c r="M68" i="7" s="1"/>
  <c r="I67" i="7"/>
  <c r="H67" i="7"/>
  <c r="N67" i="7" s="1"/>
  <c r="G67" i="7"/>
  <c r="M67" i="7" s="1"/>
  <c r="I66" i="7"/>
  <c r="M66" i="7" s="1"/>
  <c r="H66" i="7"/>
  <c r="N66" i="7" s="1"/>
  <c r="G66" i="7"/>
  <c r="N65" i="7"/>
  <c r="I65" i="7"/>
  <c r="H65" i="7"/>
  <c r="G65" i="7"/>
  <c r="M65" i="7" s="1"/>
  <c r="I64" i="7"/>
  <c r="H64" i="7"/>
  <c r="N64" i="7" s="1"/>
  <c r="G64" i="7"/>
  <c r="M64" i="7" s="1"/>
  <c r="I63" i="7"/>
  <c r="M63" i="7" s="1"/>
  <c r="V63" i="7" s="1"/>
  <c r="H63" i="7"/>
  <c r="N63" i="7" s="1"/>
  <c r="G63" i="7"/>
  <c r="N62" i="7"/>
  <c r="I62" i="7"/>
  <c r="H62" i="7"/>
  <c r="G62" i="7"/>
  <c r="M62" i="7" s="1"/>
  <c r="I61" i="7"/>
  <c r="H61" i="7"/>
  <c r="N61" i="7" s="1"/>
  <c r="G61" i="7"/>
  <c r="M61" i="7" s="1"/>
  <c r="I60" i="7"/>
  <c r="H60" i="7"/>
  <c r="N60" i="7" s="1"/>
  <c r="G60" i="7"/>
  <c r="M60" i="7" s="1"/>
  <c r="M59" i="7"/>
  <c r="I59" i="7"/>
  <c r="H59" i="7"/>
  <c r="N59" i="7" s="1"/>
  <c r="G59" i="7"/>
  <c r="I58" i="7"/>
  <c r="H58" i="7"/>
  <c r="N58" i="7" s="1"/>
  <c r="G58" i="7"/>
  <c r="M58" i="7" s="1"/>
  <c r="I57" i="7"/>
  <c r="H57" i="7"/>
  <c r="N57" i="7" s="1"/>
  <c r="G57" i="7"/>
  <c r="M57" i="7" s="1"/>
  <c r="N56" i="7"/>
  <c r="I56" i="7"/>
  <c r="H56" i="7"/>
  <c r="G56" i="7"/>
  <c r="M56" i="7" s="1"/>
  <c r="I55" i="7"/>
  <c r="H55" i="7"/>
  <c r="N55" i="7" s="1"/>
  <c r="G55" i="7"/>
  <c r="M55" i="7" s="1"/>
  <c r="I54" i="7"/>
  <c r="H54" i="7"/>
  <c r="N54" i="7" s="1"/>
  <c r="G54" i="7"/>
  <c r="M54" i="7" s="1"/>
  <c r="N53" i="7"/>
  <c r="M53" i="7"/>
  <c r="I53" i="7"/>
  <c r="H53" i="7"/>
  <c r="G53" i="7"/>
  <c r="I52" i="7"/>
  <c r="H52" i="7"/>
  <c r="N52" i="7" s="1"/>
  <c r="G52" i="7"/>
  <c r="M52" i="7" s="1"/>
  <c r="I51" i="7"/>
  <c r="H51" i="7"/>
  <c r="N51" i="7" s="1"/>
  <c r="G51" i="7"/>
  <c r="M51" i="7" s="1"/>
  <c r="N50" i="7"/>
  <c r="I50" i="7"/>
  <c r="M50" i="7" s="1"/>
  <c r="H50" i="7"/>
  <c r="G50" i="7"/>
  <c r="I49" i="7"/>
  <c r="H49" i="7"/>
  <c r="N49" i="7" s="1"/>
  <c r="G49" i="7"/>
  <c r="M49" i="7" s="1"/>
  <c r="I48" i="7"/>
  <c r="H48" i="7"/>
  <c r="N48" i="7" s="1"/>
  <c r="G48" i="7"/>
  <c r="M48" i="7" s="1"/>
  <c r="I47" i="7"/>
  <c r="M47" i="7" s="1"/>
  <c r="H47" i="7"/>
  <c r="N47" i="7" s="1"/>
  <c r="G47" i="7"/>
  <c r="N46" i="7"/>
  <c r="I46" i="7"/>
  <c r="H46" i="7"/>
  <c r="G46" i="7"/>
  <c r="M46" i="7" s="1"/>
  <c r="H45" i="7"/>
  <c r="G45" i="7"/>
  <c r="F45" i="7"/>
  <c r="M44" i="7"/>
  <c r="I44" i="7"/>
  <c r="H44" i="7"/>
  <c r="N44" i="7" s="1"/>
  <c r="G44" i="7"/>
  <c r="N43" i="7"/>
  <c r="I43" i="7"/>
  <c r="H43" i="7"/>
  <c r="G43" i="7"/>
  <c r="M43" i="7" s="1"/>
  <c r="I42" i="7"/>
  <c r="H42" i="7"/>
  <c r="N42" i="7" s="1"/>
  <c r="G42" i="7"/>
  <c r="M42" i="7" s="1"/>
  <c r="N41" i="7"/>
  <c r="I41" i="7"/>
  <c r="H41" i="7"/>
  <c r="G41" i="7"/>
  <c r="M40" i="7"/>
  <c r="I40" i="7"/>
  <c r="H40" i="7"/>
  <c r="N40" i="7" s="1"/>
  <c r="G40" i="7"/>
  <c r="I39" i="7"/>
  <c r="H39" i="7"/>
  <c r="N39" i="7" s="1"/>
  <c r="G39" i="7"/>
  <c r="M39" i="7" s="1"/>
  <c r="I38" i="7"/>
  <c r="H38" i="7"/>
  <c r="N38" i="7" s="1"/>
  <c r="G38" i="7"/>
  <c r="M38" i="7" s="1"/>
  <c r="N37" i="7"/>
  <c r="I37" i="7"/>
  <c r="H37" i="7"/>
  <c r="G37" i="7"/>
  <c r="M37" i="7" s="1"/>
  <c r="I36" i="7"/>
  <c r="H36" i="7"/>
  <c r="N36" i="7" s="1"/>
  <c r="G36" i="7"/>
  <c r="M36" i="7" s="1"/>
  <c r="I35" i="7"/>
  <c r="H35" i="7"/>
  <c r="N35" i="7" s="1"/>
  <c r="G35" i="7"/>
  <c r="M35" i="7" s="1"/>
  <c r="N34" i="7"/>
  <c r="M34" i="7"/>
  <c r="I34" i="7"/>
  <c r="H34" i="7"/>
  <c r="G34" i="7"/>
  <c r="I33" i="7"/>
  <c r="H33" i="7"/>
  <c r="N33" i="7" s="1"/>
  <c r="G33" i="7"/>
  <c r="M33" i="7" s="1"/>
  <c r="I32" i="7"/>
  <c r="H32" i="7"/>
  <c r="N32" i="7" s="1"/>
  <c r="G32" i="7"/>
  <c r="M32" i="7" s="1"/>
  <c r="N31" i="7"/>
  <c r="I31" i="7"/>
  <c r="M31" i="7" s="1"/>
  <c r="H31" i="7"/>
  <c r="G31" i="7"/>
  <c r="I30" i="7"/>
  <c r="H30" i="7"/>
  <c r="N30" i="7" s="1"/>
  <c r="G30" i="7"/>
  <c r="M30" i="7" s="1"/>
  <c r="I29" i="7"/>
  <c r="H29" i="7"/>
  <c r="N29" i="7" s="1"/>
  <c r="G29" i="7"/>
  <c r="M29" i="7" s="1"/>
  <c r="N28" i="7"/>
  <c r="M28" i="7"/>
  <c r="I28" i="7"/>
  <c r="H28" i="7"/>
  <c r="G28" i="7"/>
  <c r="N27" i="7"/>
  <c r="I27" i="7"/>
  <c r="H27" i="7"/>
  <c r="G27" i="7"/>
  <c r="M27" i="7" s="1"/>
  <c r="I26" i="7"/>
  <c r="H26" i="7"/>
  <c r="N26" i="7" s="1"/>
  <c r="G26" i="7"/>
  <c r="M26" i="7" s="1"/>
  <c r="I25" i="7"/>
  <c r="H25" i="7"/>
  <c r="D111" i="7" s="1"/>
  <c r="G25" i="7"/>
  <c r="M25" i="7" s="1"/>
  <c r="M24" i="7"/>
  <c r="I24" i="7"/>
  <c r="H24" i="7"/>
  <c r="N24" i="7" s="1"/>
  <c r="G24" i="7"/>
  <c r="I23" i="7"/>
  <c r="H23" i="7"/>
  <c r="N23" i="7" s="1"/>
  <c r="G23" i="7"/>
  <c r="M23" i="7" s="1"/>
  <c r="I22" i="7"/>
  <c r="H22" i="7"/>
  <c r="N22" i="7" s="1"/>
  <c r="G22" i="7"/>
  <c r="M22" i="7" s="1"/>
  <c r="N21" i="7"/>
  <c r="I21" i="7"/>
  <c r="H21" i="7"/>
  <c r="G21" i="7"/>
  <c r="M21" i="7" s="1"/>
  <c r="I20" i="7"/>
  <c r="H20" i="7"/>
  <c r="N20" i="7" s="1"/>
  <c r="G20" i="7"/>
  <c r="M20" i="7" s="1"/>
  <c r="I19" i="7"/>
  <c r="H19" i="7"/>
  <c r="N19" i="7" s="1"/>
  <c r="G19" i="7"/>
  <c r="M19" i="7" s="1"/>
  <c r="N18" i="7"/>
  <c r="M18" i="7"/>
  <c r="I18" i="7"/>
  <c r="H18" i="7"/>
  <c r="G18" i="7"/>
  <c r="N17" i="7"/>
  <c r="I17" i="7"/>
  <c r="H17" i="7"/>
  <c r="G17" i="7"/>
  <c r="M17" i="7" s="1"/>
  <c r="I16" i="7"/>
  <c r="H16" i="7"/>
  <c r="N16" i="7" s="1"/>
  <c r="G16" i="7"/>
  <c r="M16" i="7" s="1"/>
  <c r="N15" i="7"/>
  <c r="M15" i="7"/>
  <c r="I15" i="7"/>
  <c r="H15" i="7"/>
  <c r="G15" i="7"/>
  <c r="M14" i="7"/>
  <c r="I14" i="7"/>
  <c r="H14" i="7"/>
  <c r="N14" i="7" s="1"/>
  <c r="G14" i="7"/>
  <c r="I13" i="7"/>
  <c r="H13" i="7"/>
  <c r="N13" i="7" s="1"/>
  <c r="G13" i="7"/>
  <c r="M13" i="7" s="1"/>
  <c r="N12" i="7"/>
  <c r="M12" i="7"/>
  <c r="I12" i="7"/>
  <c r="H12" i="7"/>
  <c r="G12" i="7"/>
  <c r="N11" i="7"/>
  <c r="I11" i="7"/>
  <c r="H11" i="7"/>
  <c r="G11" i="7"/>
  <c r="M11" i="7" s="1"/>
  <c r="I10" i="7"/>
  <c r="H10" i="7"/>
  <c r="N10" i="7" s="1"/>
  <c r="G10" i="7"/>
  <c r="M10" i="7" s="1"/>
  <c r="I9" i="7"/>
  <c r="H9" i="7"/>
  <c r="N9" i="7" s="1"/>
  <c r="G9" i="7"/>
  <c r="M9" i="7" s="1"/>
  <c r="M8" i="7"/>
  <c r="I8" i="7"/>
  <c r="H8" i="7"/>
  <c r="N8" i="7" s="1"/>
  <c r="G8" i="7"/>
  <c r="I7" i="7"/>
  <c r="H7" i="7"/>
  <c r="N7" i="7" s="1"/>
  <c r="G7" i="7"/>
  <c r="M7" i="7" s="1"/>
  <c r="I6" i="7"/>
  <c r="H6" i="7"/>
  <c r="N6" i="7" s="1"/>
  <c r="G6" i="7"/>
  <c r="G105" i="7" s="1"/>
  <c r="N5" i="7"/>
  <c r="I5" i="7"/>
  <c r="H5" i="7"/>
  <c r="G5" i="7"/>
  <c r="M5" i="7" s="1"/>
  <c r="S140" i="6"/>
  <c r="S135" i="6"/>
  <c r="Q135" i="6"/>
  <c r="P135" i="6"/>
  <c r="O135" i="6"/>
  <c r="S141" i="6" s="1"/>
  <c r="R128" i="6"/>
  <c r="R135" i="6" s="1"/>
  <c r="D116" i="6"/>
  <c r="L111" i="6"/>
  <c r="K111" i="6"/>
  <c r="J111" i="6"/>
  <c r="H111" i="6"/>
  <c r="D115" i="6" s="1"/>
  <c r="F111" i="6"/>
  <c r="D114" i="6" s="1"/>
  <c r="D123" i="6" s="1"/>
  <c r="E111" i="6"/>
  <c r="D111" i="6"/>
  <c r="F108" i="6"/>
  <c r="N108" i="6" s="1"/>
  <c r="F107" i="6"/>
  <c r="H106" i="6"/>
  <c r="G106" i="6"/>
  <c r="F106" i="6"/>
  <c r="N106" i="6" s="1"/>
  <c r="N105" i="6"/>
  <c r="H105" i="6"/>
  <c r="G105" i="6"/>
  <c r="F105" i="6"/>
  <c r="I104" i="6"/>
  <c r="H104" i="6"/>
  <c r="N104" i="6" s="1"/>
  <c r="G104" i="6"/>
  <c r="M104" i="6" s="1"/>
  <c r="F104" i="6"/>
  <c r="I103" i="6"/>
  <c r="H103" i="6"/>
  <c r="N103" i="6" s="1"/>
  <c r="G103" i="6"/>
  <c r="M103" i="6" s="1"/>
  <c r="F103" i="6"/>
  <c r="H102" i="6"/>
  <c r="G102" i="6"/>
  <c r="F102" i="6"/>
  <c r="N102" i="6" s="1"/>
  <c r="N101" i="6"/>
  <c r="I101" i="6"/>
  <c r="M101" i="6" s="1"/>
  <c r="H101" i="6"/>
  <c r="G101" i="6"/>
  <c r="I100" i="6"/>
  <c r="M100" i="6" s="1"/>
  <c r="H100" i="6"/>
  <c r="N100" i="6" s="1"/>
  <c r="G100" i="6"/>
  <c r="I99" i="6"/>
  <c r="H99" i="6"/>
  <c r="N99" i="6" s="1"/>
  <c r="G99" i="6"/>
  <c r="M99" i="6" s="1"/>
  <c r="I98" i="6"/>
  <c r="M98" i="6" s="1"/>
  <c r="H98" i="6"/>
  <c r="N98" i="6" s="1"/>
  <c r="G98" i="6"/>
  <c r="I97" i="6"/>
  <c r="H97" i="6"/>
  <c r="N97" i="6" s="1"/>
  <c r="G97" i="6"/>
  <c r="M97" i="6" s="1"/>
  <c r="I96" i="6"/>
  <c r="H96" i="6"/>
  <c r="N96" i="6" s="1"/>
  <c r="G96" i="6"/>
  <c r="M96" i="6" s="1"/>
  <c r="I95" i="6"/>
  <c r="H95" i="6"/>
  <c r="N95" i="6" s="1"/>
  <c r="G95" i="6"/>
  <c r="M95" i="6" s="1"/>
  <c r="I94" i="6"/>
  <c r="H94" i="6"/>
  <c r="N94" i="6" s="1"/>
  <c r="G94" i="6"/>
  <c r="M94" i="6" s="1"/>
  <c r="N93" i="6"/>
  <c r="I93" i="6"/>
  <c r="M93" i="6" s="1"/>
  <c r="H93" i="6"/>
  <c r="G93" i="6"/>
  <c r="I92" i="6"/>
  <c r="H92" i="6"/>
  <c r="N92" i="6" s="1"/>
  <c r="G92" i="6"/>
  <c r="M92" i="6" s="1"/>
  <c r="I91" i="6"/>
  <c r="H91" i="6"/>
  <c r="N91" i="6" s="1"/>
  <c r="G91" i="6"/>
  <c r="M91" i="6" s="1"/>
  <c r="N90" i="6"/>
  <c r="M90" i="6"/>
  <c r="I90" i="6"/>
  <c r="H90" i="6"/>
  <c r="G90" i="6"/>
  <c r="I89" i="6"/>
  <c r="H89" i="6"/>
  <c r="N89" i="6" s="1"/>
  <c r="G89" i="6"/>
  <c r="M89" i="6" s="1"/>
  <c r="N88" i="6"/>
  <c r="I88" i="6"/>
  <c r="H88" i="6"/>
  <c r="G88" i="6"/>
  <c r="M88" i="6" s="1"/>
  <c r="N87" i="6"/>
  <c r="I87" i="6"/>
  <c r="M87" i="6" s="1"/>
  <c r="H87" i="6"/>
  <c r="G87" i="6"/>
  <c r="I86" i="6"/>
  <c r="H86" i="6"/>
  <c r="N86" i="6" s="1"/>
  <c r="G86" i="6"/>
  <c r="M86" i="6" s="1"/>
  <c r="N85" i="6"/>
  <c r="I85" i="6"/>
  <c r="M85" i="6" s="1"/>
  <c r="H85" i="6"/>
  <c r="G85" i="6"/>
  <c r="I84" i="6"/>
  <c r="M84" i="6" s="1"/>
  <c r="H84" i="6"/>
  <c r="N84" i="6" s="1"/>
  <c r="G84" i="6"/>
  <c r="I83" i="6"/>
  <c r="H83" i="6"/>
  <c r="N83" i="6" s="1"/>
  <c r="G83" i="6"/>
  <c r="M83" i="6" s="1"/>
  <c r="I82" i="6"/>
  <c r="M82" i="6" s="1"/>
  <c r="H82" i="6"/>
  <c r="N82" i="6" s="1"/>
  <c r="G82" i="6"/>
  <c r="I81" i="6"/>
  <c r="H81" i="6"/>
  <c r="N81" i="6" s="1"/>
  <c r="G81" i="6"/>
  <c r="M81" i="6" s="1"/>
  <c r="N80" i="6"/>
  <c r="I80" i="6"/>
  <c r="H80" i="6"/>
  <c r="G80" i="6"/>
  <c r="M80" i="6" s="1"/>
  <c r="I79" i="6"/>
  <c r="H79" i="6"/>
  <c r="N79" i="6" s="1"/>
  <c r="G79" i="6"/>
  <c r="M79" i="6" s="1"/>
  <c r="I78" i="6"/>
  <c r="H78" i="6"/>
  <c r="N78" i="6" s="1"/>
  <c r="G78" i="6"/>
  <c r="M78" i="6" s="1"/>
  <c r="N77" i="6"/>
  <c r="I77" i="6"/>
  <c r="M77" i="6" s="1"/>
  <c r="H77" i="6"/>
  <c r="G77" i="6"/>
  <c r="I76" i="6"/>
  <c r="H76" i="6"/>
  <c r="N76" i="6" s="1"/>
  <c r="G76" i="6"/>
  <c r="M76" i="6" s="1"/>
  <c r="I75" i="6"/>
  <c r="H75" i="6"/>
  <c r="N75" i="6" s="1"/>
  <c r="G75" i="6"/>
  <c r="M75" i="6" s="1"/>
  <c r="N74" i="6"/>
  <c r="M74" i="6"/>
  <c r="I74" i="6"/>
  <c r="H74" i="6"/>
  <c r="G74" i="6"/>
  <c r="I73" i="6"/>
  <c r="H73" i="6"/>
  <c r="N73" i="6" s="1"/>
  <c r="G73" i="6"/>
  <c r="M73" i="6" s="1"/>
  <c r="N72" i="6"/>
  <c r="I72" i="6"/>
  <c r="H72" i="6"/>
  <c r="G72" i="6"/>
  <c r="M72" i="6" s="1"/>
  <c r="N71" i="6"/>
  <c r="I71" i="6"/>
  <c r="M71" i="6" s="1"/>
  <c r="H71" i="6"/>
  <c r="G71" i="6"/>
  <c r="I70" i="6"/>
  <c r="H70" i="6"/>
  <c r="N70" i="6" s="1"/>
  <c r="G70" i="6"/>
  <c r="M70" i="6" s="1"/>
  <c r="N69" i="6"/>
  <c r="I69" i="6"/>
  <c r="M69" i="6" s="1"/>
  <c r="H69" i="6"/>
  <c r="G69" i="6"/>
  <c r="I68" i="6"/>
  <c r="M68" i="6" s="1"/>
  <c r="H68" i="6"/>
  <c r="N68" i="6" s="1"/>
  <c r="G68" i="6"/>
  <c r="I67" i="6"/>
  <c r="H67" i="6"/>
  <c r="N67" i="6" s="1"/>
  <c r="G67" i="6"/>
  <c r="M67" i="6" s="1"/>
  <c r="I66" i="6"/>
  <c r="M66" i="6" s="1"/>
  <c r="H66" i="6"/>
  <c r="N66" i="6" s="1"/>
  <c r="G66" i="6"/>
  <c r="I65" i="6"/>
  <c r="H65" i="6"/>
  <c r="N65" i="6" s="1"/>
  <c r="G65" i="6"/>
  <c r="M65" i="6" s="1"/>
  <c r="N64" i="6"/>
  <c r="I64" i="6"/>
  <c r="H64" i="6"/>
  <c r="G64" i="6"/>
  <c r="M64" i="6" s="1"/>
  <c r="I63" i="6"/>
  <c r="M63" i="6" s="1"/>
  <c r="V63" i="6" s="1"/>
  <c r="H63" i="6"/>
  <c r="N63" i="6" s="1"/>
  <c r="G63" i="6"/>
  <c r="I62" i="6"/>
  <c r="H62" i="6"/>
  <c r="N62" i="6" s="1"/>
  <c r="G62" i="6"/>
  <c r="M62" i="6" s="1"/>
  <c r="N61" i="6"/>
  <c r="I61" i="6"/>
  <c r="H61" i="6"/>
  <c r="G61" i="6"/>
  <c r="M61" i="6" s="1"/>
  <c r="I60" i="6"/>
  <c r="H60" i="6"/>
  <c r="N60" i="6" s="1"/>
  <c r="G60" i="6"/>
  <c r="M60" i="6" s="1"/>
  <c r="I59" i="6"/>
  <c r="H59" i="6"/>
  <c r="N59" i="6" s="1"/>
  <c r="G59" i="6"/>
  <c r="M59" i="6" s="1"/>
  <c r="N58" i="6"/>
  <c r="I58" i="6"/>
  <c r="M58" i="6" s="1"/>
  <c r="H58" i="6"/>
  <c r="G58" i="6"/>
  <c r="I57" i="6"/>
  <c r="H57" i="6"/>
  <c r="N57" i="6" s="1"/>
  <c r="G57" i="6"/>
  <c r="M57" i="6" s="1"/>
  <c r="I56" i="6"/>
  <c r="H56" i="6"/>
  <c r="N56" i="6" s="1"/>
  <c r="G56" i="6"/>
  <c r="M56" i="6" s="1"/>
  <c r="N55" i="6"/>
  <c r="M55" i="6"/>
  <c r="I55" i="6"/>
  <c r="H55" i="6"/>
  <c r="G55" i="6"/>
  <c r="I54" i="6"/>
  <c r="H54" i="6"/>
  <c r="N54" i="6" s="1"/>
  <c r="G54" i="6"/>
  <c r="M54" i="6" s="1"/>
  <c r="N53" i="6"/>
  <c r="I53" i="6"/>
  <c r="H53" i="6"/>
  <c r="G53" i="6"/>
  <c r="M53" i="6" s="1"/>
  <c r="N52" i="6"/>
  <c r="I52" i="6"/>
  <c r="M52" i="6" s="1"/>
  <c r="H52" i="6"/>
  <c r="G52" i="6"/>
  <c r="I51" i="6"/>
  <c r="H51" i="6"/>
  <c r="N51" i="6" s="1"/>
  <c r="G51" i="6"/>
  <c r="M51" i="6" s="1"/>
  <c r="N50" i="6"/>
  <c r="I50" i="6"/>
  <c r="M50" i="6" s="1"/>
  <c r="H50" i="6"/>
  <c r="G50" i="6"/>
  <c r="I49" i="6"/>
  <c r="M49" i="6" s="1"/>
  <c r="H49" i="6"/>
  <c r="N49" i="6" s="1"/>
  <c r="G49" i="6"/>
  <c r="I48" i="6"/>
  <c r="H48" i="6"/>
  <c r="N48" i="6" s="1"/>
  <c r="G48" i="6"/>
  <c r="M48" i="6" s="1"/>
  <c r="I47" i="6"/>
  <c r="M47" i="6" s="1"/>
  <c r="H47" i="6"/>
  <c r="N47" i="6" s="1"/>
  <c r="G47" i="6"/>
  <c r="I46" i="6"/>
  <c r="H46" i="6"/>
  <c r="N46" i="6" s="1"/>
  <c r="G46" i="6"/>
  <c r="M46" i="6" s="1"/>
  <c r="H45" i="6"/>
  <c r="G45" i="6"/>
  <c r="F45" i="6"/>
  <c r="N45" i="6" s="1"/>
  <c r="I44" i="6"/>
  <c r="M44" i="6" s="1"/>
  <c r="H44" i="6"/>
  <c r="N44" i="6" s="1"/>
  <c r="G44" i="6"/>
  <c r="I43" i="6"/>
  <c r="H43" i="6"/>
  <c r="N43" i="6" s="1"/>
  <c r="G43" i="6"/>
  <c r="M43" i="6" s="1"/>
  <c r="M42" i="6"/>
  <c r="I42" i="6"/>
  <c r="H42" i="6"/>
  <c r="N42" i="6" s="1"/>
  <c r="G42" i="6"/>
  <c r="I41" i="6"/>
  <c r="H41" i="6"/>
  <c r="N41" i="6" s="1"/>
  <c r="G41" i="6"/>
  <c r="M41" i="6" s="1"/>
  <c r="I40" i="6"/>
  <c r="H40" i="6"/>
  <c r="N40" i="6" s="1"/>
  <c r="G40" i="6"/>
  <c r="M40" i="6" s="1"/>
  <c r="N39" i="6"/>
  <c r="I39" i="6"/>
  <c r="M39" i="6" s="1"/>
  <c r="H39" i="6"/>
  <c r="G39" i="6"/>
  <c r="I38" i="6"/>
  <c r="H38" i="6"/>
  <c r="N38" i="6" s="1"/>
  <c r="G38" i="6"/>
  <c r="M38" i="6" s="1"/>
  <c r="I37" i="6"/>
  <c r="H37" i="6"/>
  <c r="N37" i="6" s="1"/>
  <c r="G37" i="6"/>
  <c r="M37" i="6" s="1"/>
  <c r="N36" i="6"/>
  <c r="M36" i="6"/>
  <c r="I36" i="6"/>
  <c r="H36" i="6"/>
  <c r="G36" i="6"/>
  <c r="I35" i="6"/>
  <c r="H35" i="6"/>
  <c r="N35" i="6" s="1"/>
  <c r="G35" i="6"/>
  <c r="M35" i="6" s="1"/>
  <c r="N34" i="6"/>
  <c r="I34" i="6"/>
  <c r="H34" i="6"/>
  <c r="G34" i="6"/>
  <c r="M34" i="6" s="1"/>
  <c r="N33" i="6"/>
  <c r="I33" i="6"/>
  <c r="M33" i="6" s="1"/>
  <c r="H33" i="6"/>
  <c r="G33" i="6"/>
  <c r="I32" i="6"/>
  <c r="H32" i="6"/>
  <c r="N32" i="6" s="1"/>
  <c r="G32" i="6"/>
  <c r="M32" i="6" s="1"/>
  <c r="N31" i="6"/>
  <c r="I31" i="6"/>
  <c r="M31" i="6" s="1"/>
  <c r="H31" i="6"/>
  <c r="G31" i="6"/>
  <c r="I30" i="6"/>
  <c r="M30" i="6" s="1"/>
  <c r="H30" i="6"/>
  <c r="N30" i="6" s="1"/>
  <c r="G30" i="6"/>
  <c r="N29" i="6"/>
  <c r="I29" i="6"/>
  <c r="H29" i="6"/>
  <c r="G29" i="6"/>
  <c r="M29" i="6" s="1"/>
  <c r="I28" i="6"/>
  <c r="M28" i="6" s="1"/>
  <c r="H28" i="6"/>
  <c r="N28" i="6" s="1"/>
  <c r="G28" i="6"/>
  <c r="I27" i="6"/>
  <c r="H27" i="6"/>
  <c r="N27" i="6" s="1"/>
  <c r="G27" i="6"/>
  <c r="M27" i="6" s="1"/>
  <c r="M26" i="6"/>
  <c r="I26" i="6"/>
  <c r="H26" i="6"/>
  <c r="N26" i="6" s="1"/>
  <c r="G26" i="6"/>
  <c r="H25" i="6"/>
  <c r="D117" i="6" s="1"/>
  <c r="G25" i="6"/>
  <c r="M25" i="6" s="1"/>
  <c r="I24" i="6"/>
  <c r="H24" i="6"/>
  <c r="N24" i="6" s="1"/>
  <c r="G24" i="6"/>
  <c r="M24" i="6" s="1"/>
  <c r="N23" i="6"/>
  <c r="M23" i="6"/>
  <c r="I23" i="6"/>
  <c r="H23" i="6"/>
  <c r="G23" i="6"/>
  <c r="I22" i="6"/>
  <c r="H22" i="6"/>
  <c r="N22" i="6" s="1"/>
  <c r="G22" i="6"/>
  <c r="M22" i="6" s="1"/>
  <c r="N21" i="6"/>
  <c r="I21" i="6"/>
  <c r="H21" i="6"/>
  <c r="G21" i="6"/>
  <c r="M21" i="6" s="1"/>
  <c r="N20" i="6"/>
  <c r="I20" i="6"/>
  <c r="M20" i="6" s="1"/>
  <c r="H20" i="6"/>
  <c r="G20" i="6"/>
  <c r="I19" i="6"/>
  <c r="H19" i="6"/>
  <c r="N19" i="6" s="1"/>
  <c r="G19" i="6"/>
  <c r="M19" i="6" s="1"/>
  <c r="N18" i="6"/>
  <c r="I18" i="6"/>
  <c r="M18" i="6" s="1"/>
  <c r="H18" i="6"/>
  <c r="G18" i="6"/>
  <c r="I17" i="6"/>
  <c r="M17" i="6" s="1"/>
  <c r="H17" i="6"/>
  <c r="N17" i="6" s="1"/>
  <c r="G17" i="6"/>
  <c r="N16" i="6"/>
  <c r="I16" i="6"/>
  <c r="H16" i="6"/>
  <c r="G16" i="6"/>
  <c r="M16" i="6" s="1"/>
  <c r="I15" i="6"/>
  <c r="M15" i="6" s="1"/>
  <c r="H15" i="6"/>
  <c r="N15" i="6" s="1"/>
  <c r="G15" i="6"/>
  <c r="I14" i="6"/>
  <c r="H14" i="6"/>
  <c r="N14" i="6" s="1"/>
  <c r="G14" i="6"/>
  <c r="M14" i="6" s="1"/>
  <c r="M13" i="6"/>
  <c r="I13" i="6"/>
  <c r="H13" i="6"/>
  <c r="N13" i="6" s="1"/>
  <c r="G13" i="6"/>
  <c r="I12" i="6"/>
  <c r="H12" i="6"/>
  <c r="N12" i="6" s="1"/>
  <c r="G12" i="6"/>
  <c r="M12" i="6" s="1"/>
  <c r="I11" i="6"/>
  <c r="H11" i="6"/>
  <c r="N11" i="6" s="1"/>
  <c r="G11" i="6"/>
  <c r="M11" i="6" s="1"/>
  <c r="N10" i="6"/>
  <c r="I10" i="6"/>
  <c r="H10" i="6"/>
  <c r="G10" i="6"/>
  <c r="M10" i="6" s="1"/>
  <c r="I9" i="6"/>
  <c r="H9" i="6"/>
  <c r="N9" i="6" s="1"/>
  <c r="G9" i="6"/>
  <c r="M9" i="6" s="1"/>
  <c r="I8" i="6"/>
  <c r="H8" i="6"/>
  <c r="N8" i="6" s="1"/>
  <c r="G8" i="6"/>
  <c r="G111" i="6" s="1"/>
  <c r="N7" i="6"/>
  <c r="M7" i="6"/>
  <c r="I7" i="6"/>
  <c r="H7" i="6"/>
  <c r="G7" i="6"/>
  <c r="I6" i="6"/>
  <c r="H6" i="6"/>
  <c r="N6" i="6" s="1"/>
  <c r="G6" i="6"/>
  <c r="M6" i="6" s="1"/>
  <c r="N5" i="6"/>
  <c r="I5" i="6"/>
  <c r="H5" i="6"/>
  <c r="G5" i="6"/>
  <c r="M5" i="6" s="1"/>
  <c r="S143" i="5"/>
  <c r="S138" i="5"/>
  <c r="Q138" i="5"/>
  <c r="P138" i="5"/>
  <c r="O138" i="5"/>
  <c r="S144" i="5" s="1"/>
  <c r="R131" i="5"/>
  <c r="R138" i="5" s="1"/>
  <c r="D119" i="5"/>
  <c r="L114" i="5"/>
  <c r="J114" i="5"/>
  <c r="E114" i="5"/>
  <c r="D114" i="5"/>
  <c r="I112" i="5"/>
  <c r="I111" i="5"/>
  <c r="H110" i="5"/>
  <c r="G110" i="5"/>
  <c r="F110" i="5"/>
  <c r="I110" i="5" s="1"/>
  <c r="H109" i="5"/>
  <c r="G109" i="5"/>
  <c r="F109" i="5"/>
  <c r="N108" i="5"/>
  <c r="H108" i="5"/>
  <c r="G108" i="5"/>
  <c r="F108" i="5"/>
  <c r="H107" i="5"/>
  <c r="G107" i="5"/>
  <c r="F107" i="5"/>
  <c r="I107" i="5" s="1"/>
  <c r="I106" i="5"/>
  <c r="H106" i="5"/>
  <c r="N106" i="5" s="1"/>
  <c r="G106" i="5"/>
  <c r="M106" i="5" s="1"/>
  <c r="F106" i="5"/>
  <c r="H105" i="5"/>
  <c r="G105" i="5"/>
  <c r="F105" i="5"/>
  <c r="N105" i="5" s="1"/>
  <c r="H104" i="5"/>
  <c r="G104" i="5"/>
  <c r="F104" i="5"/>
  <c r="N103" i="5"/>
  <c r="I103" i="5"/>
  <c r="M103" i="5" s="1"/>
  <c r="H103" i="5"/>
  <c r="G103" i="5"/>
  <c r="F103" i="5"/>
  <c r="H102" i="5"/>
  <c r="G102" i="5"/>
  <c r="F102" i="5"/>
  <c r="N102" i="5" s="1"/>
  <c r="H101" i="5"/>
  <c r="G101" i="5"/>
  <c r="F101" i="5"/>
  <c r="N101" i="5" s="1"/>
  <c r="N100" i="5"/>
  <c r="I100" i="5"/>
  <c r="H100" i="5"/>
  <c r="G100" i="5"/>
  <c r="M100" i="5" s="1"/>
  <c r="I99" i="5"/>
  <c r="H99" i="5"/>
  <c r="N99" i="5" s="1"/>
  <c r="G99" i="5"/>
  <c r="M99" i="5" s="1"/>
  <c r="I98" i="5"/>
  <c r="H98" i="5"/>
  <c r="N98" i="5" s="1"/>
  <c r="G98" i="5"/>
  <c r="M98" i="5" s="1"/>
  <c r="N97" i="5"/>
  <c r="M97" i="5"/>
  <c r="I97" i="5"/>
  <c r="H97" i="5"/>
  <c r="G97" i="5"/>
  <c r="I96" i="5"/>
  <c r="H96" i="5"/>
  <c r="N96" i="5" s="1"/>
  <c r="G96" i="5"/>
  <c r="M96" i="5" s="1"/>
  <c r="K95" i="5"/>
  <c r="K114" i="5" s="1"/>
  <c r="H95" i="5"/>
  <c r="G95" i="5"/>
  <c r="F95" i="5"/>
  <c r="N95" i="5" s="1"/>
  <c r="N94" i="5"/>
  <c r="I94" i="5"/>
  <c r="H94" i="5"/>
  <c r="G94" i="5"/>
  <c r="M94" i="5" s="1"/>
  <c r="I93" i="5"/>
  <c r="H93" i="5"/>
  <c r="N93" i="5" s="1"/>
  <c r="G93" i="5"/>
  <c r="M93" i="5" s="1"/>
  <c r="I92" i="5"/>
  <c r="H92" i="5"/>
  <c r="N92" i="5" s="1"/>
  <c r="G92" i="5"/>
  <c r="M92" i="5" s="1"/>
  <c r="N91" i="5"/>
  <c r="M91" i="5"/>
  <c r="I91" i="5"/>
  <c r="H91" i="5"/>
  <c r="G91" i="5"/>
  <c r="I90" i="5"/>
  <c r="H90" i="5"/>
  <c r="N90" i="5" s="1"/>
  <c r="G90" i="5"/>
  <c r="M90" i="5" s="1"/>
  <c r="I89" i="5"/>
  <c r="H89" i="5"/>
  <c r="N89" i="5" s="1"/>
  <c r="G89" i="5"/>
  <c r="M89" i="5" s="1"/>
  <c r="N88" i="5"/>
  <c r="I88" i="5"/>
  <c r="M88" i="5" s="1"/>
  <c r="H88" i="5"/>
  <c r="G88" i="5"/>
  <c r="I87" i="5"/>
  <c r="H87" i="5"/>
  <c r="N87" i="5" s="1"/>
  <c r="G87" i="5"/>
  <c r="M87" i="5" s="1"/>
  <c r="I86" i="5"/>
  <c r="H86" i="5"/>
  <c r="N86" i="5" s="1"/>
  <c r="G86" i="5"/>
  <c r="M86" i="5" s="1"/>
  <c r="I85" i="5"/>
  <c r="M85" i="5" s="1"/>
  <c r="H85" i="5"/>
  <c r="N85" i="5" s="1"/>
  <c r="G85" i="5"/>
  <c r="I84" i="5"/>
  <c r="H84" i="5"/>
  <c r="N84" i="5" s="1"/>
  <c r="G84" i="5"/>
  <c r="M84" i="5" s="1"/>
  <c r="I83" i="5"/>
  <c r="H83" i="5"/>
  <c r="N83" i="5" s="1"/>
  <c r="G83" i="5"/>
  <c r="M83" i="5" s="1"/>
  <c r="I82" i="5"/>
  <c r="H82" i="5"/>
  <c r="N82" i="5" s="1"/>
  <c r="G82" i="5"/>
  <c r="M82" i="5" s="1"/>
  <c r="I81" i="5"/>
  <c r="H81" i="5"/>
  <c r="N81" i="5" s="1"/>
  <c r="G81" i="5"/>
  <c r="M81" i="5" s="1"/>
  <c r="I80" i="5"/>
  <c r="H80" i="5"/>
  <c r="N80" i="5" s="1"/>
  <c r="G80" i="5"/>
  <c r="M80" i="5" s="1"/>
  <c r="I79" i="5"/>
  <c r="H79" i="5"/>
  <c r="N79" i="5" s="1"/>
  <c r="G79" i="5"/>
  <c r="M79" i="5" s="1"/>
  <c r="N78" i="5"/>
  <c r="I78" i="5"/>
  <c r="H78" i="5"/>
  <c r="G78" i="5"/>
  <c r="M78" i="5" s="1"/>
  <c r="I77" i="5"/>
  <c r="H77" i="5"/>
  <c r="N77" i="5" s="1"/>
  <c r="G77" i="5"/>
  <c r="M77" i="5" s="1"/>
  <c r="I76" i="5"/>
  <c r="H76" i="5"/>
  <c r="N76" i="5" s="1"/>
  <c r="G76" i="5"/>
  <c r="M76" i="5" s="1"/>
  <c r="N75" i="5"/>
  <c r="M75" i="5"/>
  <c r="I75" i="5"/>
  <c r="H75" i="5"/>
  <c r="G75" i="5"/>
  <c r="I74" i="5"/>
  <c r="H74" i="5"/>
  <c r="N74" i="5" s="1"/>
  <c r="G74" i="5"/>
  <c r="M74" i="5" s="1"/>
  <c r="I73" i="5"/>
  <c r="H73" i="5"/>
  <c r="N73" i="5" s="1"/>
  <c r="G73" i="5"/>
  <c r="M73" i="5" s="1"/>
  <c r="N72" i="5"/>
  <c r="I72" i="5"/>
  <c r="M72" i="5" s="1"/>
  <c r="H72" i="5"/>
  <c r="G72" i="5"/>
  <c r="I71" i="5"/>
  <c r="H71" i="5"/>
  <c r="N71" i="5" s="1"/>
  <c r="G71" i="5"/>
  <c r="M71" i="5" s="1"/>
  <c r="I70" i="5"/>
  <c r="H70" i="5"/>
  <c r="N70" i="5" s="1"/>
  <c r="G70" i="5"/>
  <c r="M70" i="5" s="1"/>
  <c r="I69" i="5"/>
  <c r="M69" i="5" s="1"/>
  <c r="H69" i="5"/>
  <c r="N69" i="5" s="1"/>
  <c r="G69" i="5"/>
  <c r="I68" i="5"/>
  <c r="H68" i="5"/>
  <c r="N68" i="5" s="1"/>
  <c r="G68" i="5"/>
  <c r="M68" i="5" s="1"/>
  <c r="I67" i="5"/>
  <c r="H67" i="5"/>
  <c r="N67" i="5" s="1"/>
  <c r="G67" i="5"/>
  <c r="M67" i="5" s="1"/>
  <c r="I66" i="5"/>
  <c r="H66" i="5"/>
  <c r="N66" i="5" s="1"/>
  <c r="G66" i="5"/>
  <c r="M66" i="5" s="1"/>
  <c r="I65" i="5"/>
  <c r="H65" i="5"/>
  <c r="N65" i="5" s="1"/>
  <c r="G65" i="5"/>
  <c r="M65" i="5" s="1"/>
  <c r="I64" i="5"/>
  <c r="H64" i="5"/>
  <c r="N64" i="5" s="1"/>
  <c r="G64" i="5"/>
  <c r="M64" i="5" s="1"/>
  <c r="I63" i="5"/>
  <c r="H63" i="5"/>
  <c r="N63" i="5" s="1"/>
  <c r="G63" i="5"/>
  <c r="M63" i="5" s="1"/>
  <c r="N62" i="5"/>
  <c r="I62" i="5"/>
  <c r="H62" i="5"/>
  <c r="G62" i="5"/>
  <c r="M62" i="5" s="1"/>
  <c r="I61" i="5"/>
  <c r="H61" i="5"/>
  <c r="N61" i="5" s="1"/>
  <c r="G61" i="5"/>
  <c r="M61" i="5" s="1"/>
  <c r="V61" i="5" s="1"/>
  <c r="I60" i="5"/>
  <c r="H60" i="5"/>
  <c r="N60" i="5" s="1"/>
  <c r="G60" i="5"/>
  <c r="M60" i="5" s="1"/>
  <c r="N59" i="5"/>
  <c r="I59" i="5"/>
  <c r="H59" i="5"/>
  <c r="G59" i="5"/>
  <c r="M59" i="5" s="1"/>
  <c r="I58" i="5"/>
  <c r="H58" i="5"/>
  <c r="N58" i="5" s="1"/>
  <c r="G58" i="5"/>
  <c r="M58" i="5" s="1"/>
  <c r="I57" i="5"/>
  <c r="H57" i="5"/>
  <c r="N57" i="5" s="1"/>
  <c r="G57" i="5"/>
  <c r="M57" i="5" s="1"/>
  <c r="N56" i="5"/>
  <c r="M56" i="5"/>
  <c r="I56" i="5"/>
  <c r="H56" i="5"/>
  <c r="G56" i="5"/>
  <c r="I55" i="5"/>
  <c r="H55" i="5"/>
  <c r="N55" i="5" s="1"/>
  <c r="G55" i="5"/>
  <c r="M55" i="5" s="1"/>
  <c r="I54" i="5"/>
  <c r="H54" i="5"/>
  <c r="N54" i="5" s="1"/>
  <c r="G54" i="5"/>
  <c r="M54" i="5" s="1"/>
  <c r="N53" i="5"/>
  <c r="I53" i="5"/>
  <c r="M53" i="5" s="1"/>
  <c r="H53" i="5"/>
  <c r="G53" i="5"/>
  <c r="I52" i="5"/>
  <c r="H52" i="5"/>
  <c r="N52" i="5" s="1"/>
  <c r="G52" i="5"/>
  <c r="M52" i="5" s="1"/>
  <c r="I51" i="5"/>
  <c r="H51" i="5"/>
  <c r="N51" i="5" s="1"/>
  <c r="G51" i="5"/>
  <c r="M51" i="5" s="1"/>
  <c r="I50" i="5"/>
  <c r="M50" i="5" s="1"/>
  <c r="H50" i="5"/>
  <c r="N50" i="5" s="1"/>
  <c r="G50" i="5"/>
  <c r="I49" i="5"/>
  <c r="H49" i="5"/>
  <c r="N49" i="5" s="1"/>
  <c r="G49" i="5"/>
  <c r="M49" i="5" s="1"/>
  <c r="I48" i="5"/>
  <c r="H48" i="5"/>
  <c r="N48" i="5" s="1"/>
  <c r="G48" i="5"/>
  <c r="M48" i="5" s="1"/>
  <c r="I47" i="5"/>
  <c r="H47" i="5"/>
  <c r="N47" i="5" s="1"/>
  <c r="G47" i="5"/>
  <c r="M47" i="5" s="1"/>
  <c r="I46" i="5"/>
  <c r="H46" i="5"/>
  <c r="N46" i="5" s="1"/>
  <c r="G46" i="5"/>
  <c r="M46" i="5" s="1"/>
  <c r="I45" i="5"/>
  <c r="H45" i="5"/>
  <c r="N45" i="5" s="1"/>
  <c r="G45" i="5"/>
  <c r="M45" i="5" s="1"/>
  <c r="H44" i="5"/>
  <c r="G44" i="5"/>
  <c r="F44" i="5"/>
  <c r="I44" i="5" s="1"/>
  <c r="I43" i="5"/>
  <c r="H43" i="5"/>
  <c r="N43" i="5" s="1"/>
  <c r="G43" i="5"/>
  <c r="M43" i="5" s="1"/>
  <c r="I42" i="5"/>
  <c r="H42" i="5"/>
  <c r="N42" i="5" s="1"/>
  <c r="G42" i="5"/>
  <c r="M42" i="5" s="1"/>
  <c r="I41" i="5"/>
  <c r="H41" i="5"/>
  <c r="N41" i="5" s="1"/>
  <c r="G41" i="5"/>
  <c r="M41" i="5" s="1"/>
  <c r="N40" i="5"/>
  <c r="I40" i="5"/>
  <c r="H40" i="5"/>
  <c r="G40" i="5"/>
  <c r="M40" i="5" s="1"/>
  <c r="I39" i="5"/>
  <c r="H39" i="5"/>
  <c r="N39" i="5" s="1"/>
  <c r="G39" i="5"/>
  <c r="M39" i="5" s="1"/>
  <c r="I38" i="5"/>
  <c r="H38" i="5"/>
  <c r="N38" i="5" s="1"/>
  <c r="G38" i="5"/>
  <c r="M38" i="5" s="1"/>
  <c r="N37" i="5"/>
  <c r="M37" i="5"/>
  <c r="I37" i="5"/>
  <c r="H37" i="5"/>
  <c r="G37" i="5"/>
  <c r="I36" i="5"/>
  <c r="H36" i="5"/>
  <c r="N36" i="5" s="1"/>
  <c r="G36" i="5"/>
  <c r="M36" i="5" s="1"/>
  <c r="I35" i="5"/>
  <c r="H35" i="5"/>
  <c r="N35" i="5" s="1"/>
  <c r="G35" i="5"/>
  <c r="M35" i="5" s="1"/>
  <c r="N34" i="5"/>
  <c r="I34" i="5"/>
  <c r="M34" i="5" s="1"/>
  <c r="H34" i="5"/>
  <c r="G34" i="5"/>
  <c r="I33" i="5"/>
  <c r="H33" i="5"/>
  <c r="N33" i="5" s="1"/>
  <c r="G33" i="5"/>
  <c r="M33" i="5" s="1"/>
  <c r="I32" i="5"/>
  <c r="H32" i="5"/>
  <c r="N32" i="5" s="1"/>
  <c r="G32" i="5"/>
  <c r="M32" i="5" s="1"/>
  <c r="I31" i="5"/>
  <c r="M31" i="5" s="1"/>
  <c r="H31" i="5"/>
  <c r="N31" i="5" s="1"/>
  <c r="G31" i="5"/>
  <c r="I30" i="5"/>
  <c r="H30" i="5"/>
  <c r="N30" i="5" s="1"/>
  <c r="G30" i="5"/>
  <c r="M30" i="5" s="1"/>
  <c r="I29" i="5"/>
  <c r="H29" i="5"/>
  <c r="N29" i="5" s="1"/>
  <c r="G29" i="5"/>
  <c r="M29" i="5" s="1"/>
  <c r="I28" i="5"/>
  <c r="H28" i="5"/>
  <c r="N28" i="5" s="1"/>
  <c r="G28" i="5"/>
  <c r="M28" i="5" s="1"/>
  <c r="I27" i="5"/>
  <c r="H27" i="5"/>
  <c r="N27" i="5" s="1"/>
  <c r="G27" i="5"/>
  <c r="M27" i="5" s="1"/>
  <c r="I26" i="5"/>
  <c r="H26" i="5"/>
  <c r="N26" i="5" s="1"/>
  <c r="G26" i="5"/>
  <c r="M26" i="5" s="1"/>
  <c r="I25" i="5"/>
  <c r="H25" i="5"/>
  <c r="N25" i="5" s="1"/>
  <c r="G25" i="5"/>
  <c r="M25" i="5" s="1"/>
  <c r="N24" i="5"/>
  <c r="I24" i="5"/>
  <c r="H24" i="5"/>
  <c r="D120" i="5" s="1"/>
  <c r="G24" i="5"/>
  <c r="M24" i="5" s="1"/>
  <c r="I23" i="5"/>
  <c r="H23" i="5"/>
  <c r="N23" i="5" s="1"/>
  <c r="G23" i="5"/>
  <c r="M23" i="5" s="1"/>
  <c r="I22" i="5"/>
  <c r="H22" i="5"/>
  <c r="N22" i="5" s="1"/>
  <c r="G22" i="5"/>
  <c r="M22" i="5" s="1"/>
  <c r="N21" i="5"/>
  <c r="M21" i="5"/>
  <c r="I21" i="5"/>
  <c r="H21" i="5"/>
  <c r="G21" i="5"/>
  <c r="I20" i="5"/>
  <c r="H20" i="5"/>
  <c r="N20" i="5" s="1"/>
  <c r="G20" i="5"/>
  <c r="M20" i="5" s="1"/>
  <c r="I19" i="5"/>
  <c r="H19" i="5"/>
  <c r="N19" i="5" s="1"/>
  <c r="G19" i="5"/>
  <c r="M19" i="5" s="1"/>
  <c r="N18" i="5"/>
  <c r="I18" i="5"/>
  <c r="M18" i="5" s="1"/>
  <c r="H18" i="5"/>
  <c r="G18" i="5"/>
  <c r="I17" i="5"/>
  <c r="H17" i="5"/>
  <c r="N17" i="5" s="1"/>
  <c r="G17" i="5"/>
  <c r="M17" i="5" s="1"/>
  <c r="I16" i="5"/>
  <c r="H16" i="5"/>
  <c r="N16" i="5" s="1"/>
  <c r="G16" i="5"/>
  <c r="M16" i="5" s="1"/>
  <c r="I15" i="5"/>
  <c r="M15" i="5" s="1"/>
  <c r="H15" i="5"/>
  <c r="N15" i="5" s="1"/>
  <c r="G15" i="5"/>
  <c r="I14" i="5"/>
  <c r="H14" i="5"/>
  <c r="N14" i="5" s="1"/>
  <c r="G14" i="5"/>
  <c r="M14" i="5" s="1"/>
  <c r="I13" i="5"/>
  <c r="H13" i="5"/>
  <c r="N13" i="5" s="1"/>
  <c r="G13" i="5"/>
  <c r="M13" i="5" s="1"/>
  <c r="I12" i="5"/>
  <c r="H12" i="5"/>
  <c r="N12" i="5" s="1"/>
  <c r="G12" i="5"/>
  <c r="M12" i="5" s="1"/>
  <c r="I11" i="5"/>
  <c r="H11" i="5"/>
  <c r="N11" i="5" s="1"/>
  <c r="G11" i="5"/>
  <c r="M11" i="5" s="1"/>
  <c r="I10" i="5"/>
  <c r="H10" i="5"/>
  <c r="N10" i="5" s="1"/>
  <c r="G10" i="5"/>
  <c r="M10" i="5" s="1"/>
  <c r="I9" i="5"/>
  <c r="H9" i="5"/>
  <c r="N9" i="5" s="1"/>
  <c r="G9" i="5"/>
  <c r="M9" i="5" s="1"/>
  <c r="N8" i="5"/>
  <c r="I8" i="5"/>
  <c r="H8" i="5"/>
  <c r="G8" i="5"/>
  <c r="M8" i="5" s="1"/>
  <c r="I7" i="5"/>
  <c r="H7" i="5"/>
  <c r="N7" i="5" s="1"/>
  <c r="G7" i="5"/>
  <c r="M7" i="5" s="1"/>
  <c r="I6" i="5"/>
  <c r="H6" i="5"/>
  <c r="N6" i="5" s="1"/>
  <c r="G6" i="5"/>
  <c r="M6" i="5" s="1"/>
  <c r="N5" i="5"/>
  <c r="M5" i="5"/>
  <c r="I5" i="5"/>
  <c r="H5" i="5"/>
  <c r="G5" i="5"/>
  <c r="S148" i="4"/>
  <c r="S143" i="4"/>
  <c r="Q143" i="4"/>
  <c r="P143" i="4"/>
  <c r="O143" i="4"/>
  <c r="S149" i="4" s="1"/>
  <c r="R136" i="4"/>
  <c r="R143" i="4" s="1"/>
  <c r="D124" i="4"/>
  <c r="L119" i="4"/>
  <c r="J119" i="4"/>
  <c r="E119" i="4"/>
  <c r="D119" i="4"/>
  <c r="H115" i="4"/>
  <c r="G115" i="4"/>
  <c r="F115" i="4"/>
  <c r="I115" i="4" s="1"/>
  <c r="H114" i="4"/>
  <c r="G114" i="4"/>
  <c r="F114" i="4"/>
  <c r="N113" i="4"/>
  <c r="I113" i="4"/>
  <c r="M113" i="4" s="1"/>
  <c r="H113" i="4"/>
  <c r="G113" i="4"/>
  <c r="F113" i="4"/>
  <c r="H112" i="4"/>
  <c r="G112" i="4"/>
  <c r="F112" i="4"/>
  <c r="H111" i="4"/>
  <c r="G111" i="4"/>
  <c r="F111" i="4"/>
  <c r="N110" i="4"/>
  <c r="H110" i="4"/>
  <c r="G110" i="4"/>
  <c r="F110" i="4"/>
  <c r="H109" i="4"/>
  <c r="G109" i="4"/>
  <c r="F109" i="4"/>
  <c r="I108" i="4"/>
  <c r="H108" i="4"/>
  <c r="N108" i="4" s="1"/>
  <c r="G108" i="4"/>
  <c r="M108" i="4" s="1"/>
  <c r="F108" i="4"/>
  <c r="H107" i="4"/>
  <c r="G107" i="4"/>
  <c r="F107" i="4"/>
  <c r="N107" i="4" s="1"/>
  <c r="H106" i="4"/>
  <c r="G106" i="4"/>
  <c r="F106" i="4"/>
  <c r="N105" i="4"/>
  <c r="I105" i="4"/>
  <c r="M105" i="4" s="1"/>
  <c r="H105" i="4"/>
  <c r="G105" i="4"/>
  <c r="F105" i="4"/>
  <c r="H104" i="4"/>
  <c r="G104" i="4"/>
  <c r="F104" i="4"/>
  <c r="H103" i="4"/>
  <c r="G103" i="4"/>
  <c r="F103" i="4"/>
  <c r="N102" i="4"/>
  <c r="H102" i="4"/>
  <c r="G102" i="4"/>
  <c r="F102" i="4"/>
  <c r="H101" i="4"/>
  <c r="G101" i="4"/>
  <c r="F101" i="4"/>
  <c r="I100" i="4"/>
  <c r="H100" i="4"/>
  <c r="N100" i="4" s="1"/>
  <c r="G100" i="4"/>
  <c r="M100" i="4" s="1"/>
  <c r="F100" i="4"/>
  <c r="I99" i="4"/>
  <c r="H99" i="4"/>
  <c r="N99" i="4" s="1"/>
  <c r="G99" i="4"/>
  <c r="M99" i="4" s="1"/>
  <c r="I98" i="4"/>
  <c r="H98" i="4"/>
  <c r="N98" i="4" s="1"/>
  <c r="G98" i="4"/>
  <c r="M98" i="4" s="1"/>
  <c r="I97" i="4"/>
  <c r="H97" i="4"/>
  <c r="N97" i="4" s="1"/>
  <c r="G97" i="4"/>
  <c r="M97" i="4" s="1"/>
  <c r="I96" i="4"/>
  <c r="H96" i="4"/>
  <c r="N96" i="4" s="1"/>
  <c r="G96" i="4"/>
  <c r="M96" i="4" s="1"/>
  <c r="I95" i="4"/>
  <c r="H95" i="4"/>
  <c r="N95" i="4" s="1"/>
  <c r="G95" i="4"/>
  <c r="M95" i="4" s="1"/>
  <c r="I94" i="4"/>
  <c r="H94" i="4"/>
  <c r="N94" i="4" s="1"/>
  <c r="G94" i="4"/>
  <c r="M94" i="4" s="1"/>
  <c r="N93" i="4"/>
  <c r="I93" i="4"/>
  <c r="H93" i="4"/>
  <c r="G93" i="4"/>
  <c r="M93" i="4" s="1"/>
  <c r="I92" i="4"/>
  <c r="H92" i="4"/>
  <c r="N92" i="4" s="1"/>
  <c r="G92" i="4"/>
  <c r="M92" i="4" s="1"/>
  <c r="I91" i="4"/>
  <c r="H91" i="4"/>
  <c r="N91" i="4" s="1"/>
  <c r="G91" i="4"/>
  <c r="M91" i="4" s="1"/>
  <c r="N90" i="4"/>
  <c r="M90" i="4"/>
  <c r="I90" i="4"/>
  <c r="H90" i="4"/>
  <c r="G90" i="4"/>
  <c r="I89" i="4"/>
  <c r="H89" i="4"/>
  <c r="N89" i="4" s="1"/>
  <c r="G89" i="4"/>
  <c r="M89" i="4" s="1"/>
  <c r="N88" i="4"/>
  <c r="I88" i="4"/>
  <c r="H88" i="4"/>
  <c r="G88" i="4"/>
  <c r="M88" i="4" s="1"/>
  <c r="N87" i="4"/>
  <c r="I87" i="4"/>
  <c r="M87" i="4" s="1"/>
  <c r="H87" i="4"/>
  <c r="G87" i="4"/>
  <c r="I86" i="4"/>
  <c r="H86" i="4"/>
  <c r="N86" i="4" s="1"/>
  <c r="G86" i="4"/>
  <c r="M86" i="4" s="1"/>
  <c r="M85" i="4"/>
  <c r="I85" i="4"/>
  <c r="H85" i="4"/>
  <c r="N85" i="4" s="1"/>
  <c r="G85" i="4"/>
  <c r="I84" i="4"/>
  <c r="M84" i="4" s="1"/>
  <c r="H84" i="4"/>
  <c r="N84" i="4" s="1"/>
  <c r="G84" i="4"/>
  <c r="I83" i="4"/>
  <c r="H83" i="4"/>
  <c r="N83" i="4" s="1"/>
  <c r="G83" i="4"/>
  <c r="M83" i="4" s="1"/>
  <c r="I82" i="4"/>
  <c r="H82" i="4"/>
  <c r="N82" i="4" s="1"/>
  <c r="G82" i="4"/>
  <c r="M82" i="4" s="1"/>
  <c r="I81" i="4"/>
  <c r="H81" i="4"/>
  <c r="N81" i="4" s="1"/>
  <c r="G81" i="4"/>
  <c r="M81" i="4" s="1"/>
  <c r="I80" i="4"/>
  <c r="H80" i="4"/>
  <c r="N80" i="4" s="1"/>
  <c r="G80" i="4"/>
  <c r="M80" i="4" s="1"/>
  <c r="I79" i="4"/>
  <c r="H79" i="4"/>
  <c r="N79" i="4" s="1"/>
  <c r="G79" i="4"/>
  <c r="M79" i="4" s="1"/>
  <c r="I78" i="4"/>
  <c r="H78" i="4"/>
  <c r="N78" i="4" s="1"/>
  <c r="G78" i="4"/>
  <c r="M78" i="4" s="1"/>
  <c r="N77" i="4"/>
  <c r="I77" i="4"/>
  <c r="H77" i="4"/>
  <c r="G77" i="4"/>
  <c r="M77" i="4" s="1"/>
  <c r="I76" i="4"/>
  <c r="H76" i="4"/>
  <c r="N76" i="4" s="1"/>
  <c r="G76" i="4"/>
  <c r="M76" i="4" s="1"/>
  <c r="I75" i="4"/>
  <c r="H75" i="4"/>
  <c r="N75" i="4" s="1"/>
  <c r="G75" i="4"/>
  <c r="M75" i="4" s="1"/>
  <c r="N74" i="4"/>
  <c r="M74" i="4"/>
  <c r="I74" i="4"/>
  <c r="H74" i="4"/>
  <c r="G74" i="4"/>
  <c r="I73" i="4"/>
  <c r="H73" i="4"/>
  <c r="N73" i="4" s="1"/>
  <c r="G73" i="4"/>
  <c r="M73" i="4" s="1"/>
  <c r="N72" i="4"/>
  <c r="I72" i="4"/>
  <c r="H72" i="4"/>
  <c r="G72" i="4"/>
  <c r="M72" i="4" s="1"/>
  <c r="N71" i="4"/>
  <c r="I71" i="4"/>
  <c r="M71" i="4" s="1"/>
  <c r="H71" i="4"/>
  <c r="G71" i="4"/>
  <c r="I70" i="4"/>
  <c r="H70" i="4"/>
  <c r="N70" i="4" s="1"/>
  <c r="G70" i="4"/>
  <c r="M70" i="4" s="1"/>
  <c r="M69" i="4"/>
  <c r="I69" i="4"/>
  <c r="H69" i="4"/>
  <c r="N69" i="4" s="1"/>
  <c r="G69" i="4"/>
  <c r="I68" i="4"/>
  <c r="M68" i="4" s="1"/>
  <c r="H68" i="4"/>
  <c r="N68" i="4" s="1"/>
  <c r="G68" i="4"/>
  <c r="I67" i="4"/>
  <c r="H67" i="4"/>
  <c r="N67" i="4" s="1"/>
  <c r="G67" i="4"/>
  <c r="M67" i="4" s="1"/>
  <c r="I66" i="4"/>
  <c r="H66" i="4"/>
  <c r="N66" i="4" s="1"/>
  <c r="G66" i="4"/>
  <c r="M66" i="4" s="1"/>
  <c r="I65" i="4"/>
  <c r="H65" i="4"/>
  <c r="N65" i="4" s="1"/>
  <c r="G65" i="4"/>
  <c r="M65" i="4" s="1"/>
  <c r="I64" i="4"/>
  <c r="H64" i="4"/>
  <c r="N64" i="4" s="1"/>
  <c r="G64" i="4"/>
  <c r="M64" i="4" s="1"/>
  <c r="I63" i="4"/>
  <c r="H63" i="4"/>
  <c r="N63" i="4" s="1"/>
  <c r="G63" i="4"/>
  <c r="M63" i="4" s="1"/>
  <c r="I62" i="4"/>
  <c r="H62" i="4"/>
  <c r="N62" i="4" s="1"/>
  <c r="G62" i="4"/>
  <c r="M62" i="4" s="1"/>
  <c r="I61" i="4"/>
  <c r="H61" i="4"/>
  <c r="N61" i="4" s="1"/>
  <c r="G61" i="4"/>
  <c r="M61" i="4" s="1"/>
  <c r="V61" i="4" s="1"/>
  <c r="I60" i="4"/>
  <c r="H60" i="4"/>
  <c r="N60" i="4" s="1"/>
  <c r="G60" i="4"/>
  <c r="M60" i="4" s="1"/>
  <c r="I59" i="4"/>
  <c r="H59" i="4"/>
  <c r="N59" i="4" s="1"/>
  <c r="G59" i="4"/>
  <c r="M59" i="4" s="1"/>
  <c r="N58" i="4"/>
  <c r="I58" i="4"/>
  <c r="H58" i="4"/>
  <c r="G58" i="4"/>
  <c r="M58" i="4" s="1"/>
  <c r="I57" i="4"/>
  <c r="H57" i="4"/>
  <c r="N57" i="4" s="1"/>
  <c r="G57" i="4"/>
  <c r="M57" i="4" s="1"/>
  <c r="I56" i="4"/>
  <c r="H56" i="4"/>
  <c r="N56" i="4" s="1"/>
  <c r="G56" i="4"/>
  <c r="M56" i="4" s="1"/>
  <c r="N55" i="4"/>
  <c r="M55" i="4"/>
  <c r="I55" i="4"/>
  <c r="H55" i="4"/>
  <c r="G55" i="4"/>
  <c r="I54" i="4"/>
  <c r="H54" i="4"/>
  <c r="N54" i="4" s="1"/>
  <c r="G54" i="4"/>
  <c r="M54" i="4" s="1"/>
  <c r="N53" i="4"/>
  <c r="I53" i="4"/>
  <c r="H53" i="4"/>
  <c r="G53" i="4"/>
  <c r="M53" i="4" s="1"/>
  <c r="N52" i="4"/>
  <c r="I52" i="4"/>
  <c r="M52" i="4" s="1"/>
  <c r="H52" i="4"/>
  <c r="G52" i="4"/>
  <c r="I51" i="4"/>
  <c r="H51" i="4"/>
  <c r="N51" i="4" s="1"/>
  <c r="G51" i="4"/>
  <c r="M51" i="4" s="1"/>
  <c r="M50" i="4"/>
  <c r="I50" i="4"/>
  <c r="H50" i="4"/>
  <c r="N50" i="4" s="1"/>
  <c r="G50" i="4"/>
  <c r="I49" i="4"/>
  <c r="M49" i="4" s="1"/>
  <c r="H49" i="4"/>
  <c r="N49" i="4" s="1"/>
  <c r="G49" i="4"/>
  <c r="I48" i="4"/>
  <c r="H48" i="4"/>
  <c r="N48" i="4" s="1"/>
  <c r="G48" i="4"/>
  <c r="M48" i="4" s="1"/>
  <c r="K47" i="4"/>
  <c r="M47" i="4" s="1"/>
  <c r="I47" i="4"/>
  <c r="H47" i="4"/>
  <c r="N47" i="4" s="1"/>
  <c r="G47" i="4"/>
  <c r="I46" i="4"/>
  <c r="M46" i="4" s="1"/>
  <c r="H46" i="4"/>
  <c r="N46" i="4" s="1"/>
  <c r="G46" i="4"/>
  <c r="I45" i="4"/>
  <c r="H45" i="4"/>
  <c r="N45" i="4" s="1"/>
  <c r="G45" i="4"/>
  <c r="M45" i="4" s="1"/>
  <c r="I44" i="4"/>
  <c r="H44" i="4"/>
  <c r="G44" i="4"/>
  <c r="F44" i="4"/>
  <c r="N44" i="4" s="1"/>
  <c r="I43" i="4"/>
  <c r="M43" i="4" s="1"/>
  <c r="H43" i="4"/>
  <c r="N43" i="4" s="1"/>
  <c r="G43" i="4"/>
  <c r="I42" i="4"/>
  <c r="H42" i="4"/>
  <c r="N42" i="4" s="1"/>
  <c r="G42" i="4"/>
  <c r="M42" i="4" s="1"/>
  <c r="I41" i="4"/>
  <c r="H41" i="4"/>
  <c r="N41" i="4" s="1"/>
  <c r="G41" i="4"/>
  <c r="M41" i="4" s="1"/>
  <c r="I40" i="4"/>
  <c r="H40" i="4"/>
  <c r="N40" i="4" s="1"/>
  <c r="G40" i="4"/>
  <c r="M40" i="4" s="1"/>
  <c r="I39" i="4"/>
  <c r="H39" i="4"/>
  <c r="N39" i="4" s="1"/>
  <c r="G39" i="4"/>
  <c r="M39" i="4" s="1"/>
  <c r="I38" i="4"/>
  <c r="H38" i="4"/>
  <c r="N38" i="4" s="1"/>
  <c r="G38" i="4"/>
  <c r="M38" i="4" s="1"/>
  <c r="I37" i="4"/>
  <c r="H37" i="4"/>
  <c r="N37" i="4" s="1"/>
  <c r="G37" i="4"/>
  <c r="M37" i="4" s="1"/>
  <c r="N36" i="4"/>
  <c r="I36" i="4"/>
  <c r="H36" i="4"/>
  <c r="G36" i="4"/>
  <c r="M36" i="4" s="1"/>
  <c r="I35" i="4"/>
  <c r="H35" i="4"/>
  <c r="N35" i="4" s="1"/>
  <c r="G35" i="4"/>
  <c r="M35" i="4" s="1"/>
  <c r="I34" i="4"/>
  <c r="H34" i="4"/>
  <c r="N34" i="4" s="1"/>
  <c r="G34" i="4"/>
  <c r="M34" i="4" s="1"/>
  <c r="N33" i="4"/>
  <c r="M33" i="4"/>
  <c r="I33" i="4"/>
  <c r="H33" i="4"/>
  <c r="G33" i="4"/>
  <c r="I32" i="4"/>
  <c r="H32" i="4"/>
  <c r="N32" i="4" s="1"/>
  <c r="G32" i="4"/>
  <c r="M32" i="4" s="1"/>
  <c r="N31" i="4"/>
  <c r="I31" i="4"/>
  <c r="H31" i="4"/>
  <c r="G31" i="4"/>
  <c r="M31" i="4" s="1"/>
  <c r="N30" i="4"/>
  <c r="I30" i="4"/>
  <c r="M30" i="4" s="1"/>
  <c r="H30" i="4"/>
  <c r="G30" i="4"/>
  <c r="I29" i="4"/>
  <c r="H29" i="4"/>
  <c r="N29" i="4" s="1"/>
  <c r="G29" i="4"/>
  <c r="M29" i="4" s="1"/>
  <c r="M28" i="4"/>
  <c r="I28" i="4"/>
  <c r="H28" i="4"/>
  <c r="N28" i="4" s="1"/>
  <c r="G28" i="4"/>
  <c r="I27" i="4"/>
  <c r="M27" i="4" s="1"/>
  <c r="H27" i="4"/>
  <c r="N27" i="4" s="1"/>
  <c r="G27" i="4"/>
  <c r="I26" i="4"/>
  <c r="H26" i="4"/>
  <c r="N26" i="4" s="1"/>
  <c r="G26" i="4"/>
  <c r="M26" i="4" s="1"/>
  <c r="I25" i="4"/>
  <c r="H25" i="4"/>
  <c r="N25" i="4" s="1"/>
  <c r="G25" i="4"/>
  <c r="M25" i="4" s="1"/>
  <c r="I24" i="4"/>
  <c r="H24" i="4"/>
  <c r="D125" i="4" s="1"/>
  <c r="G24" i="4"/>
  <c r="M24" i="4" s="1"/>
  <c r="I23" i="4"/>
  <c r="H23" i="4"/>
  <c r="N23" i="4" s="1"/>
  <c r="G23" i="4"/>
  <c r="M23" i="4" s="1"/>
  <c r="I22" i="4"/>
  <c r="H22" i="4"/>
  <c r="N22" i="4" s="1"/>
  <c r="G22" i="4"/>
  <c r="M22" i="4" s="1"/>
  <c r="I21" i="4"/>
  <c r="H21" i="4"/>
  <c r="N21" i="4" s="1"/>
  <c r="G21" i="4"/>
  <c r="M21" i="4" s="1"/>
  <c r="N20" i="4"/>
  <c r="I20" i="4"/>
  <c r="H20" i="4"/>
  <c r="G20" i="4"/>
  <c r="M20" i="4" s="1"/>
  <c r="I19" i="4"/>
  <c r="H19" i="4"/>
  <c r="N19" i="4" s="1"/>
  <c r="G19" i="4"/>
  <c r="M19" i="4" s="1"/>
  <c r="I18" i="4"/>
  <c r="H18" i="4"/>
  <c r="N18" i="4" s="1"/>
  <c r="G18" i="4"/>
  <c r="M18" i="4" s="1"/>
  <c r="N17" i="4"/>
  <c r="M17" i="4"/>
  <c r="I17" i="4"/>
  <c r="H17" i="4"/>
  <c r="G17" i="4"/>
  <c r="I16" i="4"/>
  <c r="H16" i="4"/>
  <c r="N16" i="4" s="1"/>
  <c r="G16" i="4"/>
  <c r="M16" i="4" s="1"/>
  <c r="N15" i="4"/>
  <c r="I15" i="4"/>
  <c r="H15" i="4"/>
  <c r="G15" i="4"/>
  <c r="M15" i="4" s="1"/>
  <c r="N14" i="4"/>
  <c r="I14" i="4"/>
  <c r="M14" i="4" s="1"/>
  <c r="H14" i="4"/>
  <c r="G14" i="4"/>
  <c r="I13" i="4"/>
  <c r="H13" i="4"/>
  <c r="N13" i="4" s="1"/>
  <c r="G13" i="4"/>
  <c r="M13" i="4" s="1"/>
  <c r="M12" i="4"/>
  <c r="I12" i="4"/>
  <c r="H12" i="4"/>
  <c r="N12" i="4" s="1"/>
  <c r="G12" i="4"/>
  <c r="I11" i="4"/>
  <c r="M11" i="4" s="1"/>
  <c r="H11" i="4"/>
  <c r="N11" i="4" s="1"/>
  <c r="G11" i="4"/>
  <c r="I10" i="4"/>
  <c r="H10" i="4"/>
  <c r="N10" i="4" s="1"/>
  <c r="G10" i="4"/>
  <c r="M10" i="4" s="1"/>
  <c r="I9" i="4"/>
  <c r="H9" i="4"/>
  <c r="N9" i="4" s="1"/>
  <c r="G9" i="4"/>
  <c r="M9" i="4" s="1"/>
  <c r="I8" i="4"/>
  <c r="H8" i="4"/>
  <c r="N8" i="4" s="1"/>
  <c r="G8" i="4"/>
  <c r="M8" i="4" s="1"/>
  <c r="I7" i="4"/>
  <c r="H7" i="4"/>
  <c r="N7" i="4" s="1"/>
  <c r="G7" i="4"/>
  <c r="M7" i="4" s="1"/>
  <c r="H6" i="4"/>
  <c r="G6" i="4"/>
  <c r="F6" i="4"/>
  <c r="E6" i="4"/>
  <c r="I5" i="4"/>
  <c r="M5" i="4" s="1"/>
  <c r="H5" i="4"/>
  <c r="N5" i="4" s="1"/>
  <c r="G5" i="4"/>
  <c r="S154" i="3"/>
  <c r="S149" i="3"/>
  <c r="Q149" i="3"/>
  <c r="P149" i="3"/>
  <c r="O149" i="3"/>
  <c r="S155" i="3" s="1"/>
  <c r="R142" i="3"/>
  <c r="R149" i="3" s="1"/>
  <c r="D130" i="3"/>
  <c r="L125" i="3"/>
  <c r="K125" i="3"/>
  <c r="J125" i="3"/>
  <c r="E125" i="3"/>
  <c r="D125" i="3"/>
  <c r="F124" i="3"/>
  <c r="N124" i="3" s="1"/>
  <c r="N123" i="3"/>
  <c r="I123" i="3"/>
  <c r="M123" i="3" s="1"/>
  <c r="F123" i="3"/>
  <c r="H122" i="3"/>
  <c r="G122" i="3"/>
  <c r="F122" i="3"/>
  <c r="N121" i="3"/>
  <c r="H121" i="3"/>
  <c r="G121" i="3"/>
  <c r="F121" i="3"/>
  <c r="H120" i="3"/>
  <c r="G120" i="3"/>
  <c r="E120" i="3"/>
  <c r="F120" i="3" s="1"/>
  <c r="N120" i="3" s="1"/>
  <c r="I119" i="3"/>
  <c r="M119" i="3" s="1"/>
  <c r="H119" i="3"/>
  <c r="N119" i="3" s="1"/>
  <c r="G119" i="3"/>
  <c r="F119" i="3"/>
  <c r="E119" i="3"/>
  <c r="I118" i="3"/>
  <c r="H118" i="3"/>
  <c r="N118" i="3" s="1"/>
  <c r="G118" i="3"/>
  <c r="F118" i="3"/>
  <c r="H117" i="3"/>
  <c r="G117" i="3"/>
  <c r="F117" i="3"/>
  <c r="N116" i="3"/>
  <c r="H116" i="3"/>
  <c r="G116" i="3"/>
  <c r="F116" i="3"/>
  <c r="N115" i="3"/>
  <c r="I115" i="3"/>
  <c r="M115" i="3" s="1"/>
  <c r="H115" i="3"/>
  <c r="G115" i="3"/>
  <c r="F115" i="3"/>
  <c r="I114" i="3"/>
  <c r="H114" i="3"/>
  <c r="N114" i="3" s="1"/>
  <c r="G114" i="3"/>
  <c r="F114" i="3"/>
  <c r="H113" i="3"/>
  <c r="G113" i="3"/>
  <c r="F113" i="3"/>
  <c r="N112" i="3"/>
  <c r="H112" i="3"/>
  <c r="G112" i="3"/>
  <c r="F112" i="3"/>
  <c r="N111" i="3"/>
  <c r="I111" i="3"/>
  <c r="M111" i="3" s="1"/>
  <c r="H111" i="3"/>
  <c r="G111" i="3"/>
  <c r="F111" i="3"/>
  <c r="I110" i="3"/>
  <c r="H110" i="3"/>
  <c r="N110" i="3" s="1"/>
  <c r="G110" i="3"/>
  <c r="M110" i="3" s="1"/>
  <c r="F110" i="3"/>
  <c r="H109" i="3"/>
  <c r="G109" i="3"/>
  <c r="F109" i="3"/>
  <c r="N108" i="3"/>
  <c r="H108" i="3"/>
  <c r="G108" i="3"/>
  <c r="F108" i="3"/>
  <c r="N107" i="3"/>
  <c r="I107" i="3"/>
  <c r="M107" i="3" s="1"/>
  <c r="H107" i="3"/>
  <c r="G107" i="3"/>
  <c r="F107" i="3"/>
  <c r="I106" i="3"/>
  <c r="H106" i="3"/>
  <c r="N106" i="3" s="1"/>
  <c r="G106" i="3"/>
  <c r="M106" i="3" s="1"/>
  <c r="F106" i="3"/>
  <c r="H105" i="3"/>
  <c r="G105" i="3"/>
  <c r="F105" i="3"/>
  <c r="N104" i="3"/>
  <c r="H104" i="3"/>
  <c r="G104" i="3"/>
  <c r="F104" i="3"/>
  <c r="N103" i="3"/>
  <c r="I103" i="3"/>
  <c r="M103" i="3" s="1"/>
  <c r="H103" i="3"/>
  <c r="G103" i="3"/>
  <c r="F103" i="3"/>
  <c r="I102" i="3"/>
  <c r="H102" i="3"/>
  <c r="N102" i="3" s="1"/>
  <c r="G102" i="3"/>
  <c r="M102" i="3" s="1"/>
  <c r="F102" i="3"/>
  <c r="H101" i="3"/>
  <c r="G101" i="3"/>
  <c r="F101" i="3"/>
  <c r="N100" i="3"/>
  <c r="H100" i="3"/>
  <c r="G100" i="3"/>
  <c r="F100" i="3"/>
  <c r="N99" i="3"/>
  <c r="I99" i="3"/>
  <c r="M99" i="3" s="1"/>
  <c r="H99" i="3"/>
  <c r="G99" i="3"/>
  <c r="F99" i="3"/>
  <c r="I98" i="3"/>
  <c r="H98" i="3"/>
  <c r="N98" i="3" s="1"/>
  <c r="G98" i="3"/>
  <c r="M98" i="3" s="1"/>
  <c r="F98" i="3"/>
  <c r="H97" i="3"/>
  <c r="G97" i="3"/>
  <c r="F97" i="3"/>
  <c r="N96" i="3"/>
  <c r="H96" i="3"/>
  <c r="G96" i="3"/>
  <c r="F96" i="3"/>
  <c r="N95" i="3"/>
  <c r="M95" i="3"/>
  <c r="I95" i="3"/>
  <c r="H95" i="3"/>
  <c r="G95" i="3"/>
  <c r="F95" i="3"/>
  <c r="I94" i="3"/>
  <c r="H94" i="3"/>
  <c r="N94" i="3" s="1"/>
  <c r="G94" i="3"/>
  <c r="M94" i="3" s="1"/>
  <c r="I93" i="3"/>
  <c r="H93" i="3"/>
  <c r="N93" i="3" s="1"/>
  <c r="G93" i="3"/>
  <c r="M93" i="3" s="1"/>
  <c r="N92" i="3"/>
  <c r="I92" i="3"/>
  <c r="M92" i="3" s="1"/>
  <c r="H92" i="3"/>
  <c r="G92" i="3"/>
  <c r="I91" i="3"/>
  <c r="H91" i="3"/>
  <c r="N91" i="3" s="1"/>
  <c r="G91" i="3"/>
  <c r="M91" i="3" s="1"/>
  <c r="N90" i="3"/>
  <c r="I90" i="3"/>
  <c r="H90" i="3"/>
  <c r="G90" i="3"/>
  <c r="M90" i="3" s="1"/>
  <c r="I89" i="3"/>
  <c r="M89" i="3" s="1"/>
  <c r="H89" i="3"/>
  <c r="N89" i="3" s="1"/>
  <c r="G89" i="3"/>
  <c r="I88" i="3"/>
  <c r="H88" i="3"/>
  <c r="N88" i="3" s="1"/>
  <c r="G88" i="3"/>
  <c r="M88" i="3" s="1"/>
  <c r="N87" i="3"/>
  <c r="M87" i="3"/>
  <c r="I87" i="3"/>
  <c r="H87" i="3"/>
  <c r="G87" i="3"/>
  <c r="I86" i="3"/>
  <c r="H86" i="3"/>
  <c r="N86" i="3" s="1"/>
  <c r="G86" i="3"/>
  <c r="M86" i="3" s="1"/>
  <c r="I85" i="3"/>
  <c r="H85" i="3"/>
  <c r="N85" i="3" s="1"/>
  <c r="G85" i="3"/>
  <c r="M85" i="3" s="1"/>
  <c r="N84" i="3"/>
  <c r="I84" i="3"/>
  <c r="M84" i="3" s="1"/>
  <c r="H84" i="3"/>
  <c r="G84" i="3"/>
  <c r="I83" i="3"/>
  <c r="H83" i="3"/>
  <c r="N83" i="3" s="1"/>
  <c r="G83" i="3"/>
  <c r="M83" i="3" s="1"/>
  <c r="N82" i="3"/>
  <c r="I82" i="3"/>
  <c r="H82" i="3"/>
  <c r="G82" i="3"/>
  <c r="M82" i="3" s="1"/>
  <c r="I81" i="3"/>
  <c r="M81" i="3" s="1"/>
  <c r="H81" i="3"/>
  <c r="N81" i="3" s="1"/>
  <c r="G81" i="3"/>
  <c r="I80" i="3"/>
  <c r="H80" i="3"/>
  <c r="N80" i="3" s="1"/>
  <c r="G80" i="3"/>
  <c r="M80" i="3" s="1"/>
  <c r="N79" i="3"/>
  <c r="M79" i="3"/>
  <c r="I79" i="3"/>
  <c r="H79" i="3"/>
  <c r="G79" i="3"/>
  <c r="I78" i="3"/>
  <c r="H78" i="3"/>
  <c r="N78" i="3" s="1"/>
  <c r="G78" i="3"/>
  <c r="M78" i="3" s="1"/>
  <c r="I77" i="3"/>
  <c r="H77" i="3"/>
  <c r="N77" i="3" s="1"/>
  <c r="G77" i="3"/>
  <c r="M77" i="3" s="1"/>
  <c r="N76" i="3"/>
  <c r="M76" i="3"/>
  <c r="I76" i="3"/>
  <c r="H76" i="3"/>
  <c r="G76" i="3"/>
  <c r="I75" i="3"/>
  <c r="H75" i="3"/>
  <c r="N75" i="3" s="1"/>
  <c r="G75" i="3"/>
  <c r="M75" i="3" s="1"/>
  <c r="N74" i="3"/>
  <c r="I74" i="3"/>
  <c r="H74" i="3"/>
  <c r="G74" i="3"/>
  <c r="M74" i="3" s="1"/>
  <c r="I73" i="3"/>
  <c r="M73" i="3" s="1"/>
  <c r="H73" i="3"/>
  <c r="N73" i="3" s="1"/>
  <c r="G73" i="3"/>
  <c r="I72" i="3"/>
  <c r="H72" i="3"/>
  <c r="N72" i="3" s="1"/>
  <c r="G72" i="3"/>
  <c r="M72" i="3" s="1"/>
  <c r="N71" i="3"/>
  <c r="M71" i="3"/>
  <c r="I71" i="3"/>
  <c r="H71" i="3"/>
  <c r="G71" i="3"/>
  <c r="I70" i="3"/>
  <c r="H70" i="3"/>
  <c r="N70" i="3" s="1"/>
  <c r="G70" i="3"/>
  <c r="I69" i="3"/>
  <c r="H69" i="3"/>
  <c r="N69" i="3" s="1"/>
  <c r="G69" i="3"/>
  <c r="M69" i="3" s="1"/>
  <c r="N68" i="3"/>
  <c r="I68" i="3"/>
  <c r="M68" i="3" s="1"/>
  <c r="H68" i="3"/>
  <c r="G68" i="3"/>
  <c r="I67" i="3"/>
  <c r="H67" i="3"/>
  <c r="N67" i="3" s="1"/>
  <c r="G67" i="3"/>
  <c r="M67" i="3" s="1"/>
  <c r="N66" i="3"/>
  <c r="I66" i="3"/>
  <c r="H66" i="3"/>
  <c r="G66" i="3"/>
  <c r="M66" i="3" s="1"/>
  <c r="I65" i="3"/>
  <c r="M65" i="3" s="1"/>
  <c r="H65" i="3"/>
  <c r="N65" i="3" s="1"/>
  <c r="G65" i="3"/>
  <c r="I64" i="3"/>
  <c r="H64" i="3"/>
  <c r="N64" i="3" s="1"/>
  <c r="G64" i="3"/>
  <c r="M64" i="3" s="1"/>
  <c r="N63" i="3"/>
  <c r="M63" i="3"/>
  <c r="I63" i="3"/>
  <c r="H63" i="3"/>
  <c r="G63" i="3"/>
  <c r="I62" i="3"/>
  <c r="M62" i="3" s="1"/>
  <c r="H62" i="3"/>
  <c r="N62" i="3" s="1"/>
  <c r="G62" i="3"/>
  <c r="I61" i="3"/>
  <c r="H61" i="3"/>
  <c r="N61" i="3" s="1"/>
  <c r="G61" i="3"/>
  <c r="M61" i="3" s="1"/>
  <c r="N60" i="3"/>
  <c r="I60" i="3"/>
  <c r="M60" i="3" s="1"/>
  <c r="H60" i="3"/>
  <c r="G60" i="3"/>
  <c r="I59" i="3"/>
  <c r="H59" i="3"/>
  <c r="N59" i="3" s="1"/>
  <c r="G59" i="3"/>
  <c r="M59" i="3" s="1"/>
  <c r="I58" i="3"/>
  <c r="H58" i="3"/>
  <c r="N58" i="3" s="1"/>
  <c r="G58" i="3"/>
  <c r="M58" i="3" s="1"/>
  <c r="V58" i="3" s="1"/>
  <c r="N57" i="3"/>
  <c r="I57" i="3"/>
  <c r="M57" i="3" s="1"/>
  <c r="H57" i="3"/>
  <c r="G57" i="3"/>
  <c r="I56" i="3"/>
  <c r="H56" i="3"/>
  <c r="N56" i="3" s="1"/>
  <c r="G56" i="3"/>
  <c r="M56" i="3" s="1"/>
  <c r="N55" i="3"/>
  <c r="I55" i="3"/>
  <c r="H55" i="3"/>
  <c r="G55" i="3"/>
  <c r="M55" i="3" s="1"/>
  <c r="I54" i="3"/>
  <c r="M54" i="3" s="1"/>
  <c r="H54" i="3"/>
  <c r="N54" i="3" s="1"/>
  <c r="G54" i="3"/>
  <c r="I53" i="3"/>
  <c r="H53" i="3"/>
  <c r="N53" i="3" s="1"/>
  <c r="G53" i="3"/>
  <c r="M53" i="3" s="1"/>
  <c r="N52" i="3"/>
  <c r="M52" i="3"/>
  <c r="I52" i="3"/>
  <c r="H52" i="3"/>
  <c r="G52" i="3"/>
  <c r="I51" i="3"/>
  <c r="H51" i="3"/>
  <c r="N51" i="3" s="1"/>
  <c r="G51" i="3"/>
  <c r="M51" i="3" s="1"/>
  <c r="I50" i="3"/>
  <c r="H50" i="3"/>
  <c r="N50" i="3" s="1"/>
  <c r="G50" i="3"/>
  <c r="M50" i="3" s="1"/>
  <c r="N49" i="3"/>
  <c r="M49" i="3"/>
  <c r="I49" i="3"/>
  <c r="H49" i="3"/>
  <c r="G49" i="3"/>
  <c r="I48" i="3"/>
  <c r="H48" i="3"/>
  <c r="N48" i="3" s="1"/>
  <c r="G48" i="3"/>
  <c r="M48" i="3" s="1"/>
  <c r="N47" i="3"/>
  <c r="I47" i="3"/>
  <c r="H47" i="3"/>
  <c r="G47" i="3"/>
  <c r="M47" i="3" s="1"/>
  <c r="I46" i="3"/>
  <c r="M46" i="3" s="1"/>
  <c r="H46" i="3"/>
  <c r="N46" i="3" s="1"/>
  <c r="G46" i="3"/>
  <c r="I45" i="3"/>
  <c r="H45" i="3"/>
  <c r="N45" i="3" s="1"/>
  <c r="G45" i="3"/>
  <c r="M45" i="3" s="1"/>
  <c r="N44" i="3"/>
  <c r="M44" i="3"/>
  <c r="I44" i="3"/>
  <c r="H44" i="3"/>
  <c r="G44" i="3"/>
  <c r="M43" i="3"/>
  <c r="I43" i="3"/>
  <c r="H43" i="3"/>
  <c r="N43" i="3" s="1"/>
  <c r="G43" i="3"/>
  <c r="H42" i="3"/>
  <c r="G42" i="3"/>
  <c r="F42" i="3"/>
  <c r="N41" i="3"/>
  <c r="M41" i="3"/>
  <c r="I41" i="3"/>
  <c r="H41" i="3"/>
  <c r="G41" i="3"/>
  <c r="I40" i="3"/>
  <c r="H40" i="3"/>
  <c r="N40" i="3" s="1"/>
  <c r="G40" i="3"/>
  <c r="M40" i="3" s="1"/>
  <c r="I39" i="3"/>
  <c r="H39" i="3"/>
  <c r="N39" i="3" s="1"/>
  <c r="G39" i="3"/>
  <c r="M39" i="3" s="1"/>
  <c r="N38" i="3"/>
  <c r="I38" i="3"/>
  <c r="M38" i="3" s="1"/>
  <c r="H38" i="3"/>
  <c r="G38" i="3"/>
  <c r="I37" i="3"/>
  <c r="H37" i="3"/>
  <c r="N37" i="3" s="1"/>
  <c r="G37" i="3"/>
  <c r="N36" i="3"/>
  <c r="I36" i="3"/>
  <c r="H36" i="3"/>
  <c r="G36" i="3"/>
  <c r="M36" i="3" s="1"/>
  <c r="I35" i="3"/>
  <c r="M35" i="3" s="1"/>
  <c r="H35" i="3"/>
  <c r="N35" i="3" s="1"/>
  <c r="G35" i="3"/>
  <c r="I34" i="3"/>
  <c r="H34" i="3"/>
  <c r="N34" i="3" s="1"/>
  <c r="G34" i="3"/>
  <c r="M34" i="3" s="1"/>
  <c r="N33" i="3"/>
  <c r="M33" i="3"/>
  <c r="I33" i="3"/>
  <c r="H33" i="3"/>
  <c r="G33" i="3"/>
  <c r="I32" i="3"/>
  <c r="H32" i="3"/>
  <c r="N32" i="3" s="1"/>
  <c r="G32" i="3"/>
  <c r="M32" i="3" s="1"/>
  <c r="I31" i="3"/>
  <c r="H31" i="3"/>
  <c r="N31" i="3" s="1"/>
  <c r="G31" i="3"/>
  <c r="M31" i="3" s="1"/>
  <c r="N30" i="3"/>
  <c r="I30" i="3"/>
  <c r="M30" i="3" s="1"/>
  <c r="H30" i="3"/>
  <c r="G30" i="3"/>
  <c r="I29" i="3"/>
  <c r="H29" i="3"/>
  <c r="N29" i="3" s="1"/>
  <c r="G29" i="3"/>
  <c r="M29" i="3" s="1"/>
  <c r="N28" i="3"/>
  <c r="I28" i="3"/>
  <c r="H28" i="3"/>
  <c r="G28" i="3"/>
  <c r="M28" i="3" s="1"/>
  <c r="I27" i="3"/>
  <c r="M27" i="3" s="1"/>
  <c r="H27" i="3"/>
  <c r="N27" i="3" s="1"/>
  <c r="G27" i="3"/>
  <c r="I26" i="3"/>
  <c r="H26" i="3"/>
  <c r="N26" i="3" s="1"/>
  <c r="G26" i="3"/>
  <c r="M26" i="3" s="1"/>
  <c r="N25" i="3"/>
  <c r="M25" i="3"/>
  <c r="I25" i="3"/>
  <c r="H25" i="3"/>
  <c r="G25" i="3"/>
  <c r="I24" i="3"/>
  <c r="H24" i="3"/>
  <c r="N24" i="3" s="1"/>
  <c r="G24" i="3"/>
  <c r="M24" i="3" s="1"/>
  <c r="I23" i="3"/>
  <c r="H23" i="3"/>
  <c r="N23" i="3" s="1"/>
  <c r="G23" i="3"/>
  <c r="M23" i="3" s="1"/>
  <c r="N22" i="3"/>
  <c r="I22" i="3"/>
  <c r="M22" i="3" s="1"/>
  <c r="H22" i="3"/>
  <c r="G22" i="3"/>
  <c r="I21" i="3"/>
  <c r="H21" i="3"/>
  <c r="N21" i="3" s="1"/>
  <c r="G21" i="3"/>
  <c r="M21" i="3" s="1"/>
  <c r="N20" i="3"/>
  <c r="I20" i="3"/>
  <c r="H20" i="3"/>
  <c r="G20" i="3"/>
  <c r="M20" i="3" s="1"/>
  <c r="I19" i="3"/>
  <c r="M19" i="3" s="1"/>
  <c r="H19" i="3"/>
  <c r="N19" i="3" s="1"/>
  <c r="G19" i="3"/>
  <c r="I18" i="3"/>
  <c r="H18" i="3"/>
  <c r="N18" i="3" s="1"/>
  <c r="G18" i="3"/>
  <c r="M18" i="3" s="1"/>
  <c r="N17" i="3"/>
  <c r="M17" i="3"/>
  <c r="I17" i="3"/>
  <c r="H17" i="3"/>
  <c r="G17" i="3"/>
  <c r="I16" i="3"/>
  <c r="H16" i="3"/>
  <c r="N16" i="3" s="1"/>
  <c r="G16" i="3"/>
  <c r="M16" i="3" s="1"/>
  <c r="I15" i="3"/>
  <c r="H15" i="3"/>
  <c r="N15" i="3" s="1"/>
  <c r="G15" i="3"/>
  <c r="M15" i="3" s="1"/>
  <c r="N14" i="3"/>
  <c r="I14" i="3"/>
  <c r="M14" i="3" s="1"/>
  <c r="H14" i="3"/>
  <c r="G14" i="3"/>
  <c r="I13" i="3"/>
  <c r="H13" i="3"/>
  <c r="N13" i="3" s="1"/>
  <c r="G13" i="3"/>
  <c r="M13" i="3" s="1"/>
  <c r="N12" i="3"/>
  <c r="I12" i="3"/>
  <c r="H12" i="3"/>
  <c r="G12" i="3"/>
  <c r="M12" i="3" s="1"/>
  <c r="I11" i="3"/>
  <c r="M11" i="3" s="1"/>
  <c r="H11" i="3"/>
  <c r="N11" i="3" s="1"/>
  <c r="G11" i="3"/>
  <c r="I10" i="3"/>
  <c r="H10" i="3"/>
  <c r="N10" i="3" s="1"/>
  <c r="G10" i="3"/>
  <c r="M10" i="3" s="1"/>
  <c r="N9" i="3"/>
  <c r="M9" i="3"/>
  <c r="I9" i="3"/>
  <c r="H9" i="3"/>
  <c r="G9" i="3"/>
  <c r="I8" i="3"/>
  <c r="H8" i="3"/>
  <c r="N8" i="3" s="1"/>
  <c r="G8" i="3"/>
  <c r="M8" i="3" s="1"/>
  <c r="I7" i="3"/>
  <c r="H7" i="3"/>
  <c r="N7" i="3" s="1"/>
  <c r="G7" i="3"/>
  <c r="M7" i="3" s="1"/>
  <c r="H6" i="3"/>
  <c r="G6" i="3"/>
  <c r="E6" i="3"/>
  <c r="F6" i="3" s="1"/>
  <c r="F125" i="3" s="1"/>
  <c r="D128" i="3" s="1"/>
  <c r="N5" i="3"/>
  <c r="M5" i="3"/>
  <c r="I5" i="3"/>
  <c r="H5" i="3"/>
  <c r="G5" i="3"/>
  <c r="S151" i="2"/>
  <c r="S146" i="2"/>
  <c r="Q146" i="2"/>
  <c r="P146" i="2"/>
  <c r="O146" i="2"/>
  <c r="S152" i="2" s="1"/>
  <c r="R139" i="2"/>
  <c r="R146" i="2" s="1"/>
  <c r="D127" i="2"/>
  <c r="L122" i="2"/>
  <c r="K122" i="2"/>
  <c r="J122" i="2"/>
  <c r="G122" i="2"/>
  <c r="D122" i="2"/>
  <c r="F121" i="2"/>
  <c r="N121" i="2" s="1"/>
  <c r="H120" i="2"/>
  <c r="G120" i="2"/>
  <c r="F120" i="2"/>
  <c r="I119" i="2"/>
  <c r="H119" i="2"/>
  <c r="N119" i="2" s="1"/>
  <c r="G119" i="2"/>
  <c r="M119" i="2" s="1"/>
  <c r="F119" i="2"/>
  <c r="H118" i="2"/>
  <c r="G118" i="2"/>
  <c r="F118" i="2"/>
  <c r="H117" i="2"/>
  <c r="G117" i="2"/>
  <c r="F117" i="2"/>
  <c r="N116" i="2"/>
  <c r="M116" i="2"/>
  <c r="I116" i="2"/>
  <c r="H116" i="2"/>
  <c r="G116" i="2"/>
  <c r="F116" i="2"/>
  <c r="H115" i="2"/>
  <c r="G115" i="2"/>
  <c r="F115" i="2"/>
  <c r="N115" i="2" s="1"/>
  <c r="I114" i="2"/>
  <c r="H114" i="2"/>
  <c r="G114" i="2"/>
  <c r="M114" i="2" s="1"/>
  <c r="F114" i="2"/>
  <c r="N113" i="2"/>
  <c r="H113" i="2"/>
  <c r="G113" i="2"/>
  <c r="F113" i="2"/>
  <c r="H112" i="2"/>
  <c r="G112" i="2"/>
  <c r="F112" i="2"/>
  <c r="I111" i="2"/>
  <c r="H111" i="2"/>
  <c r="N111" i="2" s="1"/>
  <c r="G111" i="2"/>
  <c r="M111" i="2" s="1"/>
  <c r="F111" i="2"/>
  <c r="H110" i="2"/>
  <c r="G110" i="2"/>
  <c r="F110" i="2"/>
  <c r="H109" i="2"/>
  <c r="G109" i="2"/>
  <c r="F109" i="2"/>
  <c r="N108" i="2"/>
  <c r="I108" i="2"/>
  <c r="M108" i="2" s="1"/>
  <c r="H108" i="2"/>
  <c r="G108" i="2"/>
  <c r="F108" i="2"/>
  <c r="H107" i="2"/>
  <c r="G107" i="2"/>
  <c r="F107" i="2"/>
  <c r="N107" i="2" s="1"/>
  <c r="I106" i="2"/>
  <c r="M106" i="2" s="1"/>
  <c r="H106" i="2"/>
  <c r="G106" i="2"/>
  <c r="F106" i="2"/>
  <c r="N106" i="2" s="1"/>
  <c r="N105" i="2"/>
  <c r="H105" i="2"/>
  <c r="G105" i="2"/>
  <c r="F105" i="2"/>
  <c r="H104" i="2"/>
  <c r="G104" i="2"/>
  <c r="F104" i="2"/>
  <c r="I103" i="2"/>
  <c r="H103" i="2"/>
  <c r="N103" i="2" s="1"/>
  <c r="G103" i="2"/>
  <c r="M103" i="2" s="1"/>
  <c r="F103" i="2"/>
  <c r="H102" i="2"/>
  <c r="G102" i="2"/>
  <c r="F102" i="2"/>
  <c r="H101" i="2"/>
  <c r="G101" i="2"/>
  <c r="F101" i="2"/>
  <c r="N100" i="2"/>
  <c r="I100" i="2"/>
  <c r="M100" i="2" s="1"/>
  <c r="H100" i="2"/>
  <c r="G100" i="2"/>
  <c r="F100" i="2"/>
  <c r="H99" i="2"/>
  <c r="G99" i="2"/>
  <c r="F99" i="2"/>
  <c r="N99" i="2" s="1"/>
  <c r="N98" i="2"/>
  <c r="H98" i="2"/>
  <c r="G98" i="2"/>
  <c r="F98" i="2"/>
  <c r="N97" i="2"/>
  <c r="I97" i="2"/>
  <c r="H97" i="2"/>
  <c r="G97" i="2"/>
  <c r="M97" i="2" s="1"/>
  <c r="I96" i="2"/>
  <c r="H96" i="2"/>
  <c r="N96" i="2" s="1"/>
  <c r="G96" i="2"/>
  <c r="M96" i="2" s="1"/>
  <c r="I95" i="2"/>
  <c r="M95" i="2" s="1"/>
  <c r="H95" i="2"/>
  <c r="N95" i="2" s="1"/>
  <c r="G95" i="2"/>
  <c r="N94" i="2"/>
  <c r="M94" i="2"/>
  <c r="I94" i="2"/>
  <c r="H94" i="2"/>
  <c r="G94" i="2"/>
  <c r="I93" i="2"/>
  <c r="H93" i="2"/>
  <c r="N93" i="2" s="1"/>
  <c r="G93" i="2"/>
  <c r="M93" i="2" s="1"/>
  <c r="I92" i="2"/>
  <c r="H92" i="2"/>
  <c r="N92" i="2" s="1"/>
  <c r="G92" i="2"/>
  <c r="M92" i="2" s="1"/>
  <c r="N91" i="2"/>
  <c r="I91" i="2"/>
  <c r="M91" i="2" s="1"/>
  <c r="H91" i="2"/>
  <c r="G91" i="2"/>
  <c r="I90" i="2"/>
  <c r="H90" i="2"/>
  <c r="N90" i="2" s="1"/>
  <c r="G90" i="2"/>
  <c r="M90" i="2" s="1"/>
  <c r="I89" i="2"/>
  <c r="H89" i="2"/>
  <c r="N89" i="2" s="1"/>
  <c r="G89" i="2"/>
  <c r="M89" i="2" s="1"/>
  <c r="I88" i="2"/>
  <c r="M88" i="2" s="1"/>
  <c r="H88" i="2"/>
  <c r="N88" i="2" s="1"/>
  <c r="G88" i="2"/>
  <c r="I87" i="2"/>
  <c r="H87" i="2"/>
  <c r="N87" i="2" s="1"/>
  <c r="G87" i="2"/>
  <c r="M87" i="2" s="1"/>
  <c r="I86" i="2"/>
  <c r="H86" i="2"/>
  <c r="N86" i="2" s="1"/>
  <c r="G86" i="2"/>
  <c r="M86" i="2" s="1"/>
  <c r="I85" i="2"/>
  <c r="H85" i="2"/>
  <c r="N85" i="2" s="1"/>
  <c r="G85" i="2"/>
  <c r="M85" i="2" s="1"/>
  <c r="I84" i="2"/>
  <c r="H84" i="2"/>
  <c r="N84" i="2" s="1"/>
  <c r="G84" i="2"/>
  <c r="M84" i="2" s="1"/>
  <c r="I83" i="2"/>
  <c r="H83" i="2"/>
  <c r="N83" i="2" s="1"/>
  <c r="G83" i="2"/>
  <c r="M83" i="2" s="1"/>
  <c r="N82" i="2"/>
  <c r="M82" i="2"/>
  <c r="I82" i="2"/>
  <c r="H82" i="2"/>
  <c r="G82" i="2"/>
  <c r="N81" i="2"/>
  <c r="I81" i="2"/>
  <c r="H81" i="2"/>
  <c r="G81" i="2"/>
  <c r="M81" i="2" s="1"/>
  <c r="I80" i="2"/>
  <c r="H80" i="2"/>
  <c r="N80" i="2" s="1"/>
  <c r="G80" i="2"/>
  <c r="M80" i="2" s="1"/>
  <c r="I79" i="2"/>
  <c r="H79" i="2"/>
  <c r="N79" i="2" s="1"/>
  <c r="G79" i="2"/>
  <c r="M79" i="2" s="1"/>
  <c r="N78" i="2"/>
  <c r="M78" i="2"/>
  <c r="I78" i="2"/>
  <c r="H78" i="2"/>
  <c r="G78" i="2"/>
  <c r="I77" i="2"/>
  <c r="H77" i="2"/>
  <c r="N77" i="2" s="1"/>
  <c r="G77" i="2"/>
  <c r="M77" i="2" s="1"/>
  <c r="I76" i="2"/>
  <c r="H76" i="2"/>
  <c r="N76" i="2" s="1"/>
  <c r="G76" i="2"/>
  <c r="M76" i="2" s="1"/>
  <c r="N75" i="2"/>
  <c r="I75" i="2"/>
  <c r="M75" i="2" s="1"/>
  <c r="H75" i="2"/>
  <c r="G75" i="2"/>
  <c r="I74" i="2"/>
  <c r="H74" i="2"/>
  <c r="N74" i="2" s="1"/>
  <c r="G74" i="2"/>
  <c r="M74" i="2" s="1"/>
  <c r="H73" i="2"/>
  <c r="G73" i="2"/>
  <c r="F73" i="2"/>
  <c r="I72" i="2"/>
  <c r="M72" i="2" s="1"/>
  <c r="H72" i="2"/>
  <c r="N72" i="2" s="1"/>
  <c r="G72" i="2"/>
  <c r="I71" i="2"/>
  <c r="H71" i="2"/>
  <c r="N71" i="2" s="1"/>
  <c r="G71" i="2"/>
  <c r="M71" i="2" s="1"/>
  <c r="I70" i="2"/>
  <c r="H70" i="2"/>
  <c r="N70" i="2" s="1"/>
  <c r="G70" i="2"/>
  <c r="M70" i="2" s="1"/>
  <c r="I69" i="2"/>
  <c r="H69" i="2"/>
  <c r="N69" i="2" s="1"/>
  <c r="G69" i="2"/>
  <c r="M69" i="2" s="1"/>
  <c r="I68" i="2"/>
  <c r="H68" i="2"/>
  <c r="N68" i="2" s="1"/>
  <c r="G68" i="2"/>
  <c r="M68" i="2" s="1"/>
  <c r="I67" i="2"/>
  <c r="H67" i="2"/>
  <c r="N67" i="2" s="1"/>
  <c r="G67" i="2"/>
  <c r="M67" i="2" s="1"/>
  <c r="I66" i="2"/>
  <c r="M66" i="2" s="1"/>
  <c r="H66" i="2"/>
  <c r="N66" i="2" s="1"/>
  <c r="G66" i="2"/>
  <c r="N65" i="2"/>
  <c r="I65" i="2"/>
  <c r="H65" i="2"/>
  <c r="G65" i="2"/>
  <c r="M65" i="2" s="1"/>
  <c r="I64" i="2"/>
  <c r="H64" i="2"/>
  <c r="N64" i="2" s="1"/>
  <c r="G64" i="2"/>
  <c r="M64" i="2" s="1"/>
  <c r="I63" i="2"/>
  <c r="H63" i="2"/>
  <c r="N63" i="2" s="1"/>
  <c r="G63" i="2"/>
  <c r="M63" i="2" s="1"/>
  <c r="N62" i="2"/>
  <c r="M62" i="2"/>
  <c r="I62" i="2"/>
  <c r="H62" i="2"/>
  <c r="G62" i="2"/>
  <c r="I61" i="2"/>
  <c r="H61" i="2"/>
  <c r="N61" i="2" s="1"/>
  <c r="G61" i="2"/>
  <c r="M61" i="2" s="1"/>
  <c r="I60" i="2"/>
  <c r="H60" i="2"/>
  <c r="N60" i="2" s="1"/>
  <c r="G60" i="2"/>
  <c r="M60" i="2" s="1"/>
  <c r="V60" i="2" s="1"/>
  <c r="N59" i="2"/>
  <c r="M59" i="2"/>
  <c r="I59" i="2"/>
  <c r="H59" i="2"/>
  <c r="G59" i="2"/>
  <c r="I58" i="2"/>
  <c r="H58" i="2"/>
  <c r="N58" i="2" s="1"/>
  <c r="G58" i="2"/>
  <c r="M58" i="2" s="1"/>
  <c r="I57" i="2"/>
  <c r="H57" i="2"/>
  <c r="N57" i="2" s="1"/>
  <c r="G57" i="2"/>
  <c r="M57" i="2" s="1"/>
  <c r="N56" i="2"/>
  <c r="I56" i="2"/>
  <c r="M56" i="2" s="1"/>
  <c r="H56" i="2"/>
  <c r="G56" i="2"/>
  <c r="I55" i="2"/>
  <c r="H55" i="2"/>
  <c r="N55" i="2" s="1"/>
  <c r="G55" i="2"/>
  <c r="M55" i="2" s="1"/>
  <c r="I54" i="2"/>
  <c r="H54" i="2"/>
  <c r="N54" i="2" s="1"/>
  <c r="G54" i="2"/>
  <c r="M53" i="2"/>
  <c r="I53" i="2"/>
  <c r="H53" i="2"/>
  <c r="N53" i="2" s="1"/>
  <c r="G53" i="2"/>
  <c r="I52" i="2"/>
  <c r="H52" i="2"/>
  <c r="N52" i="2" s="1"/>
  <c r="G52" i="2"/>
  <c r="M52" i="2" s="1"/>
  <c r="I51" i="2"/>
  <c r="H51" i="2"/>
  <c r="N51" i="2" s="1"/>
  <c r="G51" i="2"/>
  <c r="M51" i="2" s="1"/>
  <c r="I50" i="2"/>
  <c r="M50" i="2" s="1"/>
  <c r="H50" i="2"/>
  <c r="N50" i="2" s="1"/>
  <c r="G50" i="2"/>
  <c r="I49" i="2"/>
  <c r="H49" i="2"/>
  <c r="N49" i="2" s="1"/>
  <c r="G49" i="2"/>
  <c r="M49" i="2" s="1"/>
  <c r="I48" i="2"/>
  <c r="H48" i="2"/>
  <c r="N48" i="2" s="1"/>
  <c r="G48" i="2"/>
  <c r="M48" i="2" s="1"/>
  <c r="I47" i="2"/>
  <c r="H47" i="2"/>
  <c r="N47" i="2" s="1"/>
  <c r="G47" i="2"/>
  <c r="M47" i="2" s="1"/>
  <c r="N46" i="2"/>
  <c r="I46" i="2"/>
  <c r="H46" i="2"/>
  <c r="G46" i="2"/>
  <c r="M46" i="2" s="1"/>
  <c r="I45" i="2"/>
  <c r="H45" i="2"/>
  <c r="G45" i="2"/>
  <c r="M45" i="2" s="1"/>
  <c r="H44" i="2"/>
  <c r="G44" i="2"/>
  <c r="F44" i="2"/>
  <c r="N44" i="2" s="1"/>
  <c r="N43" i="2"/>
  <c r="I43" i="2"/>
  <c r="H43" i="2"/>
  <c r="G43" i="2"/>
  <c r="M43" i="2" s="1"/>
  <c r="I42" i="2"/>
  <c r="H42" i="2"/>
  <c r="N42" i="2" s="1"/>
  <c r="G42" i="2"/>
  <c r="M42" i="2" s="1"/>
  <c r="I41" i="2"/>
  <c r="H41" i="2"/>
  <c r="N41" i="2" s="1"/>
  <c r="G41" i="2"/>
  <c r="M41" i="2" s="1"/>
  <c r="N40" i="2"/>
  <c r="M40" i="2"/>
  <c r="I40" i="2"/>
  <c r="H40" i="2"/>
  <c r="G40" i="2"/>
  <c r="I39" i="2"/>
  <c r="H39" i="2"/>
  <c r="N39" i="2" s="1"/>
  <c r="G39" i="2"/>
  <c r="M39" i="2" s="1"/>
  <c r="I38" i="2"/>
  <c r="M38" i="2" s="1"/>
  <c r="H38" i="2"/>
  <c r="N38" i="2" s="1"/>
  <c r="G38" i="2"/>
  <c r="N37" i="2"/>
  <c r="M37" i="2"/>
  <c r="I37" i="2"/>
  <c r="H37" i="2"/>
  <c r="G37" i="2"/>
  <c r="I36" i="2"/>
  <c r="H36" i="2"/>
  <c r="N36" i="2" s="1"/>
  <c r="G36" i="2"/>
  <c r="M36" i="2" s="1"/>
  <c r="I35" i="2"/>
  <c r="H35" i="2"/>
  <c r="N35" i="2" s="1"/>
  <c r="G35" i="2"/>
  <c r="M35" i="2" s="1"/>
  <c r="I34" i="2"/>
  <c r="M34" i="2" s="1"/>
  <c r="H34" i="2"/>
  <c r="H122" i="2" s="1"/>
  <c r="G34" i="2"/>
  <c r="I33" i="2"/>
  <c r="H33" i="2"/>
  <c r="N33" i="2" s="1"/>
  <c r="G33" i="2"/>
  <c r="M33" i="2" s="1"/>
  <c r="I32" i="2"/>
  <c r="H32" i="2"/>
  <c r="N32" i="2" s="1"/>
  <c r="G32" i="2"/>
  <c r="M32" i="2" s="1"/>
  <c r="I31" i="2"/>
  <c r="H31" i="2"/>
  <c r="N31" i="2" s="1"/>
  <c r="G31" i="2"/>
  <c r="M31" i="2" s="1"/>
  <c r="I30" i="2"/>
  <c r="H30" i="2"/>
  <c r="N30" i="2" s="1"/>
  <c r="G30" i="2"/>
  <c r="M30" i="2" s="1"/>
  <c r="I29" i="2"/>
  <c r="H29" i="2"/>
  <c r="N29" i="2" s="1"/>
  <c r="G29" i="2"/>
  <c r="M29" i="2" s="1"/>
  <c r="I28" i="2"/>
  <c r="H28" i="2"/>
  <c r="N28" i="2" s="1"/>
  <c r="G28" i="2"/>
  <c r="M28" i="2" s="1"/>
  <c r="N27" i="2"/>
  <c r="I27" i="2"/>
  <c r="H27" i="2"/>
  <c r="G27" i="2"/>
  <c r="M27" i="2" s="1"/>
  <c r="I26" i="2"/>
  <c r="H26" i="2"/>
  <c r="N26" i="2" s="1"/>
  <c r="G26" i="2"/>
  <c r="M26" i="2" s="1"/>
  <c r="N25" i="2"/>
  <c r="M25" i="2"/>
  <c r="I25" i="2"/>
  <c r="H25" i="2"/>
  <c r="G25" i="2"/>
  <c r="N24" i="2"/>
  <c r="M24" i="2"/>
  <c r="I24" i="2"/>
  <c r="H24" i="2"/>
  <c r="G24" i="2"/>
  <c r="I23" i="2"/>
  <c r="H23" i="2"/>
  <c r="N23" i="2" s="1"/>
  <c r="G23" i="2"/>
  <c r="M23" i="2" s="1"/>
  <c r="I22" i="2"/>
  <c r="H22" i="2"/>
  <c r="N22" i="2" s="1"/>
  <c r="G22" i="2"/>
  <c r="M22" i="2" s="1"/>
  <c r="N21" i="2"/>
  <c r="I21" i="2"/>
  <c r="M21" i="2" s="1"/>
  <c r="H21" i="2"/>
  <c r="G21" i="2"/>
  <c r="I20" i="2"/>
  <c r="H20" i="2"/>
  <c r="G20" i="2"/>
  <c r="F20" i="2"/>
  <c r="N20" i="2" s="1"/>
  <c r="I19" i="2"/>
  <c r="H19" i="2"/>
  <c r="N19" i="2" s="1"/>
  <c r="G19" i="2"/>
  <c r="M19" i="2" s="1"/>
  <c r="N18" i="2"/>
  <c r="I18" i="2"/>
  <c r="M18" i="2" s="1"/>
  <c r="H18" i="2"/>
  <c r="G18" i="2"/>
  <c r="I17" i="2"/>
  <c r="H17" i="2"/>
  <c r="N17" i="2" s="1"/>
  <c r="G17" i="2"/>
  <c r="M17" i="2" s="1"/>
  <c r="I16" i="2"/>
  <c r="H16" i="2"/>
  <c r="N16" i="2" s="1"/>
  <c r="G16" i="2"/>
  <c r="M16" i="2" s="1"/>
  <c r="I15" i="2"/>
  <c r="M15" i="2" s="1"/>
  <c r="H15" i="2"/>
  <c r="N15" i="2" s="1"/>
  <c r="G15" i="2"/>
  <c r="I14" i="2"/>
  <c r="H14" i="2"/>
  <c r="N14" i="2" s="1"/>
  <c r="G14" i="2"/>
  <c r="M14" i="2" s="1"/>
  <c r="I13" i="2"/>
  <c r="H13" i="2"/>
  <c r="N13" i="2" s="1"/>
  <c r="G13" i="2"/>
  <c r="M13" i="2" s="1"/>
  <c r="I12" i="2"/>
  <c r="H12" i="2"/>
  <c r="N12" i="2" s="1"/>
  <c r="G12" i="2"/>
  <c r="M12" i="2" s="1"/>
  <c r="I11" i="2"/>
  <c r="H11" i="2"/>
  <c r="N11" i="2" s="1"/>
  <c r="G11" i="2"/>
  <c r="M11" i="2" s="1"/>
  <c r="I10" i="2"/>
  <c r="H10" i="2"/>
  <c r="N10" i="2" s="1"/>
  <c r="G10" i="2"/>
  <c r="M10" i="2" s="1"/>
  <c r="N9" i="2"/>
  <c r="I9" i="2"/>
  <c r="M9" i="2" s="1"/>
  <c r="H9" i="2"/>
  <c r="G9" i="2"/>
  <c r="N8" i="2"/>
  <c r="I8" i="2"/>
  <c r="H8" i="2"/>
  <c r="G8" i="2"/>
  <c r="M8" i="2" s="1"/>
  <c r="I7" i="2"/>
  <c r="H7" i="2"/>
  <c r="N7" i="2" s="1"/>
  <c r="G7" i="2"/>
  <c r="M7" i="2" s="1"/>
  <c r="H6" i="2"/>
  <c r="G6" i="2"/>
  <c r="E6" i="2"/>
  <c r="E122" i="2" s="1"/>
  <c r="I5" i="2"/>
  <c r="H5" i="2"/>
  <c r="N5" i="2" s="1"/>
  <c r="G5" i="2"/>
  <c r="M5" i="2" s="1"/>
  <c r="K162" i="17" l="1"/>
  <c r="E150" i="17"/>
  <c r="I6" i="17"/>
  <c r="I135" i="17" s="1"/>
  <c r="N6" i="17"/>
  <c r="N135" i="17" s="1"/>
  <c r="F135" i="17"/>
  <c r="D138" i="17" s="1"/>
  <c r="D147" i="17" s="1"/>
  <c r="E120" i="7"/>
  <c r="K130" i="7"/>
  <c r="M6" i="7"/>
  <c r="N102" i="7"/>
  <c r="I102" i="7"/>
  <c r="I105" i="7" s="1"/>
  <c r="M41" i="7"/>
  <c r="N25" i="7"/>
  <c r="N105" i="7" s="1"/>
  <c r="M73" i="7"/>
  <c r="M100" i="7"/>
  <c r="F105" i="7"/>
  <c r="D108" i="7" s="1"/>
  <c r="D117" i="7" s="1"/>
  <c r="N45" i="7"/>
  <c r="M45" i="7"/>
  <c r="I45" i="7"/>
  <c r="I100" i="7"/>
  <c r="E126" i="6"/>
  <c r="K138" i="6"/>
  <c r="I106" i="6"/>
  <c r="M8" i="6"/>
  <c r="M106" i="6"/>
  <c r="N25" i="6"/>
  <c r="N111" i="6" s="1"/>
  <c r="I102" i="6"/>
  <c r="M102" i="6" s="1"/>
  <c r="I108" i="6"/>
  <c r="M108" i="6" s="1"/>
  <c r="N107" i="6"/>
  <c r="I45" i="6"/>
  <c r="M45" i="6" s="1"/>
  <c r="I105" i="6"/>
  <c r="M105" i="6" s="1"/>
  <c r="I107" i="6"/>
  <c r="M107" i="6" s="1"/>
  <c r="F114" i="5"/>
  <c r="D117" i="5" s="1"/>
  <c r="G114" i="5"/>
  <c r="H114" i="5"/>
  <c r="D118" i="5" s="1"/>
  <c r="I101" i="5"/>
  <c r="I109" i="5"/>
  <c r="M109" i="5" s="1"/>
  <c r="M101" i="5"/>
  <c r="M95" i="5"/>
  <c r="I104" i="5"/>
  <c r="M104" i="5" s="1"/>
  <c r="N109" i="5"/>
  <c r="N104" i="5"/>
  <c r="I102" i="5"/>
  <c r="M102" i="5" s="1"/>
  <c r="N107" i="5"/>
  <c r="I105" i="5"/>
  <c r="N110" i="5"/>
  <c r="M44" i="5"/>
  <c r="I95" i="5"/>
  <c r="I114" i="5" s="1"/>
  <c r="N44" i="5"/>
  <c r="N114" i="5" s="1"/>
  <c r="M107" i="5"/>
  <c r="M105" i="5"/>
  <c r="M110" i="5"/>
  <c r="I108" i="5"/>
  <c r="M108" i="5" s="1"/>
  <c r="M111" i="4"/>
  <c r="M104" i="4"/>
  <c r="M106" i="4"/>
  <c r="M114" i="4"/>
  <c r="N24" i="4"/>
  <c r="I103" i="4"/>
  <c r="M103" i="4" s="1"/>
  <c r="I111" i="4"/>
  <c r="N103" i="4"/>
  <c r="I106" i="4"/>
  <c r="N111" i="4"/>
  <c r="I114" i="4"/>
  <c r="K119" i="4"/>
  <c r="I112" i="4"/>
  <c r="M112" i="4" s="1"/>
  <c r="N109" i="4"/>
  <c r="F119" i="4"/>
  <c r="D122" i="4" s="1"/>
  <c r="G119" i="4"/>
  <c r="H119" i="4"/>
  <c r="D123" i="4" s="1"/>
  <c r="I6" i="4"/>
  <c r="I119" i="4" s="1"/>
  <c r="M44" i="4"/>
  <c r="I101" i="4"/>
  <c r="M101" i="4" s="1"/>
  <c r="I109" i="4"/>
  <c r="M109" i="4" s="1"/>
  <c r="N114" i="4"/>
  <c r="N101" i="4"/>
  <c r="I104" i="4"/>
  <c r="N104" i="4"/>
  <c r="N112" i="4"/>
  <c r="M115" i="4"/>
  <c r="N106" i="4"/>
  <c r="N6" i="4"/>
  <c r="N119" i="4" s="1"/>
  <c r="I107" i="4"/>
  <c r="M107" i="4" s="1"/>
  <c r="I102" i="4"/>
  <c r="M102" i="4" s="1"/>
  <c r="I110" i="4"/>
  <c r="M110" i="4" s="1"/>
  <c r="N115" i="4"/>
  <c r="N42" i="3"/>
  <c r="M42" i="3"/>
  <c r="I42" i="3"/>
  <c r="M96" i="3"/>
  <c r="N122" i="3"/>
  <c r="I122" i="3"/>
  <c r="M122" i="3" s="1"/>
  <c r="M100" i="3"/>
  <c r="D131" i="3"/>
  <c r="M104" i="3"/>
  <c r="I6" i="3"/>
  <c r="I125" i="3" s="1"/>
  <c r="M108" i="3"/>
  <c r="M6" i="3"/>
  <c r="N97" i="3"/>
  <c r="I97" i="3"/>
  <c r="M97" i="3" s="1"/>
  <c r="M112" i="3"/>
  <c r="N6" i="3"/>
  <c r="N125" i="3" s="1"/>
  <c r="N101" i="3"/>
  <c r="I101" i="3"/>
  <c r="M101" i="3" s="1"/>
  <c r="M116" i="3"/>
  <c r="N109" i="3"/>
  <c r="I109" i="3"/>
  <c r="M109" i="3" s="1"/>
  <c r="N113" i="3"/>
  <c r="I113" i="3"/>
  <c r="M113" i="3" s="1"/>
  <c r="N117" i="3"/>
  <c r="I117" i="3"/>
  <c r="M117" i="3" s="1"/>
  <c r="I120" i="3"/>
  <c r="M120" i="3"/>
  <c r="G125" i="3"/>
  <c r="H125" i="3"/>
  <c r="M37" i="3"/>
  <c r="M114" i="3"/>
  <c r="M121" i="3"/>
  <c r="N105" i="3"/>
  <c r="I105" i="3"/>
  <c r="M105" i="3" s="1"/>
  <c r="M70" i="3"/>
  <c r="M118" i="3"/>
  <c r="I96" i="3"/>
  <c r="I104" i="3"/>
  <c r="I112" i="3"/>
  <c r="I124" i="3"/>
  <c r="M124" i="3" s="1"/>
  <c r="I100" i="3"/>
  <c r="I108" i="3"/>
  <c r="I116" i="3"/>
  <c r="I121" i="3"/>
  <c r="K149" i="2"/>
  <c r="N34" i="2"/>
  <c r="I120" i="2"/>
  <c r="N120" i="2"/>
  <c r="M120" i="2"/>
  <c r="I44" i="2"/>
  <c r="N73" i="2"/>
  <c r="M73" i="2"/>
  <c r="I101" i="2"/>
  <c r="M101" i="2" s="1"/>
  <c r="N101" i="2"/>
  <c r="M44" i="2"/>
  <c r="N109" i="2"/>
  <c r="F6" i="2"/>
  <c r="N112" i="2"/>
  <c r="I112" i="2"/>
  <c r="M112" i="2" s="1"/>
  <c r="D128" i="2"/>
  <c r="D126" i="2" s="1"/>
  <c r="I98" i="2"/>
  <c r="M98" i="2" s="1"/>
  <c r="I109" i="2"/>
  <c r="M109" i="2" s="1"/>
  <c r="M118" i="2"/>
  <c r="I104" i="2"/>
  <c r="N104" i="2"/>
  <c r="M104" i="2"/>
  <c r="E137" i="2"/>
  <c r="M102" i="2"/>
  <c r="I117" i="2"/>
  <c r="M117" i="2" s="1"/>
  <c r="N117" i="2"/>
  <c r="M54" i="2"/>
  <c r="M110" i="2"/>
  <c r="N114" i="2"/>
  <c r="I99" i="2"/>
  <c r="I107" i="2"/>
  <c r="I115" i="2"/>
  <c r="N45" i="2"/>
  <c r="M99" i="2"/>
  <c r="M107" i="2"/>
  <c r="M115" i="2"/>
  <c r="M20" i="2"/>
  <c r="I102" i="2"/>
  <c r="I110" i="2"/>
  <c r="I118" i="2"/>
  <c r="I121" i="2"/>
  <c r="M121" i="2" s="1"/>
  <c r="N102" i="2"/>
  <c r="I105" i="2"/>
  <c r="M105" i="2" s="1"/>
  <c r="N110" i="2"/>
  <c r="I113" i="2"/>
  <c r="M113" i="2" s="1"/>
  <c r="N118" i="2"/>
  <c r="K163" i="17" l="1"/>
  <c r="E151" i="17"/>
  <c r="M6" i="17"/>
  <c r="M135" i="17" s="1"/>
  <c r="K161" i="17" s="1"/>
  <c r="K166" i="17" s="1"/>
  <c r="M167" i="17" s="1"/>
  <c r="E159" i="17"/>
  <c r="I149" i="17" s="1"/>
  <c r="M105" i="7"/>
  <c r="K129" i="7" s="1"/>
  <c r="K134" i="7" s="1"/>
  <c r="M135" i="7" s="1"/>
  <c r="K131" i="7"/>
  <c r="E121" i="7"/>
  <c r="M102" i="7"/>
  <c r="E127" i="7"/>
  <c r="I119" i="7" s="1"/>
  <c r="M111" i="6"/>
  <c r="K137" i="6" s="1"/>
  <c r="I111" i="6"/>
  <c r="E130" i="5"/>
  <c r="K142" i="5"/>
  <c r="M114" i="5"/>
  <c r="K140" i="5" s="1"/>
  <c r="K141" i="5"/>
  <c r="E129" i="5"/>
  <c r="D126" i="5"/>
  <c r="E135" i="4"/>
  <c r="K147" i="4"/>
  <c r="M6" i="4"/>
  <c r="M119" i="4" s="1"/>
  <c r="K145" i="4" s="1"/>
  <c r="K146" i="4"/>
  <c r="E134" i="4"/>
  <c r="E143" i="4" s="1"/>
  <c r="D131" i="4"/>
  <c r="M125" i="3"/>
  <c r="K151" i="3" s="1"/>
  <c r="K153" i="3"/>
  <c r="E141" i="3"/>
  <c r="K152" i="3"/>
  <c r="E140" i="3"/>
  <c r="E149" i="3" s="1"/>
  <c r="D129" i="3"/>
  <c r="D137" i="3" s="1"/>
  <c r="F122" i="2"/>
  <c r="D125" i="2" s="1"/>
  <c r="D134" i="2" s="1"/>
  <c r="I6" i="2"/>
  <c r="I122" i="2" s="1"/>
  <c r="N6" i="2"/>
  <c r="N122" i="2" s="1"/>
  <c r="K139" i="6" l="1"/>
  <c r="E127" i="6"/>
  <c r="E135" i="6" s="1"/>
  <c r="I125" i="6" s="1"/>
  <c r="K142" i="6"/>
  <c r="M143" i="6" s="1"/>
  <c r="E138" i="5"/>
  <c r="I128" i="5" s="1"/>
  <c r="K145" i="5"/>
  <c r="M146" i="5" s="1"/>
  <c r="I133" i="4"/>
  <c r="K150" i="4"/>
  <c r="M151" i="4" s="1"/>
  <c r="K156" i="3"/>
  <c r="M157" i="3" s="1"/>
  <c r="I139" i="3"/>
  <c r="K150" i="2"/>
  <c r="E138" i="2"/>
  <c r="E146" i="2" s="1"/>
  <c r="I136" i="2" s="1"/>
  <c r="M6" i="2"/>
  <c r="M122" i="2" s="1"/>
  <c r="K148" i="2" s="1"/>
  <c r="K153" i="2" l="1"/>
  <c r="M15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tc={50812A5B-D67E-4A29-A236-872145209055}</author>
    <author>tc={4C309799-0B82-4E05-8CDD-4AC04AEC317F}</author>
    <author>User</author>
    <author>Marah Abu Obaid | Ejada Systems</author>
    <author>Ahmad Abu Eid | Ejada Systems</author>
    <author>tc={BB705B14-1ED3-4B0F-99AF-D77C6053F620}</author>
    <author>tc={D92C2333-17AF-473D-9247-FF04D222CC2C}</author>
    <author>tc={06F074C7-5DD1-424C-92F5-1335121F77FC}</author>
    <author>tc={AFFF2F69-80EB-413E-99D4-E9393BB51F20}</author>
    <author>tc={1C119096-6958-4A94-AAF9-15961D31B784}</author>
    <author>tc={FF18799A-E425-4C62-95C9-B1C0E45D6F30}</author>
    <author>tc={568189F6-9991-4987-B398-8A398A56B216}</author>
    <author>tc={9448476E-E735-4953-956F-4C5BD81B8C18}</author>
    <author>tc={A6C3C5F3-C110-40E0-B5EB-5A315E2B05B0}</author>
    <author>tc={96DC849E-E047-4451-ABEA-9D956A726D5D}</author>
    <author>tc={80A4A981-F283-4459-8797-CC82B7FF403C}</author>
    <author>tc={0628F6C5-6029-4D7A-9960-3D5F39C1AEF7}</author>
    <author>tc={78133DAF-43F8-456B-9858-0DCC12A3A05C}</author>
    <author>tc={6D41C679-177C-40BF-AE53-58E359FB2E48}</author>
    <author>tc={59DF981F-2B9F-40E8-A022-4FAB91041D15}</author>
    <author>tc={3FE7FA66-EA1D-47EE-BCBB-62D28A3C51CA}</author>
    <author>tc={3CE4905E-134F-4202-90BF-786D0BBB4B28}</author>
    <author>tc={5E05B44A-6615-4AC3-81BC-534BCB05C892}</author>
    <author>tc={A08D5138-CE08-4E02-A800-940D24FEBF1E}</author>
    <author>tc={53ED424F-1890-4D71-A64E-7840587784C6}</author>
    <author>tc={293E4277-F5A3-4972-8FA9-BC1654C62D44}</author>
    <author>tc={C281F5C7-240B-4EF4-8F34-9DFE9FA455F5}</author>
    <author>tc={CE51FDE8-AD0F-4EB1-AA93-FB42F1DB03EC}</author>
  </authors>
  <commentList>
    <comment ref="F10" authorId="0" shapeId="0" xr:uid="{50812A5B-D67E-4A29-A236-872145209055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working day 20/11/2025</t>
      </text>
    </comment>
    <comment ref="F27" authorId="1" shapeId="0" xr:uid="{4C309799-0B82-4E05-8CDD-4AC04AEC317F}">
      <text>
        <t>[Threaded comment]
Your version of Excel allows you to read this threaded comment; however, any edits to it will get removed if the file is opened in a newer version of Excel. Learn more: https://go.microsoft.com/fwlink/?linkid=870924
Comment:
    Unpaid leave from 10 Nov to 31 Dec</t>
      </text>
    </comment>
    <comment ref="F41" authorId="2" shapeId="0" xr:uid="{F2B5F466-72A6-4F8D-A581-EF0032A3E63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21st January</t>
        </r>
      </text>
    </comment>
    <comment ref="F42" authorId="2" shapeId="0" xr:uid="{FE866C95-270F-4F9D-BFC5-6BDA26F19E5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01-02-2024</t>
        </r>
      </text>
    </comment>
    <comment ref="F43" authorId="2" shapeId="0" xr:uid="{5EC6DE5C-D0F4-446F-99C2-156CC707127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14-02-2024</t>
        </r>
      </text>
    </comment>
    <comment ref="F44" authorId="2" shapeId="0" xr:uid="{B6149553-7832-43F5-9A3E-4AE06E23E4B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26-03-2024</t>
        </r>
      </text>
    </comment>
    <comment ref="F45" authorId="2" shapeId="0" xr:uid="{41EA2FFD-D549-4615-A226-74D5ECF2174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01.05.2024</t>
        </r>
      </text>
    </comment>
    <comment ref="F46" authorId="2" shapeId="0" xr:uid="{1854CCAA-AF7D-45EB-ABB5-E2BC0608E4E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15.05.2024</t>
        </r>
      </text>
    </comment>
    <comment ref="F48" authorId="2" shapeId="0" xr:uid="{13880FFD-F225-4520-9DCB-244A3F91EF9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06-08-2024</t>
        </r>
      </text>
    </comment>
    <comment ref="F49" authorId="2" shapeId="0" xr:uid="{20B58711-6A36-4372-A0A9-07F75967B23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11th August</t>
        </r>
      </text>
    </comment>
    <comment ref="E50" authorId="2" shapeId="0" xr:uid="{D77FA863-F168-492B-9F20-DFA96030AB4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Joiining date 21 august</t>
        </r>
      </text>
    </comment>
    <comment ref="E54" authorId="3" shapeId="0" xr:uid="{B56F7506-BD1E-4329-A1DC-F8CF20D3B20D}">
      <text>
        <r>
          <rPr>
            <b/>
            <sz val="9"/>
            <color indexed="81"/>
            <rFont val="Tahoma"/>
            <family val="2"/>
          </rPr>
          <t>Marah Abu Obaid | Ejada Systems:
New contract from 01 Oct 2025- change in title &amp; Salary</t>
        </r>
      </text>
    </comment>
    <comment ref="F56" authorId="4" shapeId="0" xr:uid="{2709D0A7-CA60-411B-8011-035ACCE2BD2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29-Sep-24</t>
        </r>
      </text>
    </comment>
    <comment ref="F57" authorId="4" shapeId="0" xr:uid="{C577468A-2961-40A7-83AD-E22C845E24F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58" authorId="4" shapeId="0" xr:uid="{003256FF-EEFF-4E92-9A86-2E70882816F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59" authorId="4" shapeId="0" xr:uid="{C2A34D7C-0A5D-4B12-A4E4-1A37F9E3F50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0" authorId="4" shapeId="0" xr:uid="{B98F0D0A-5292-46C0-AC6D-440B32B44E7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1" authorId="4" shapeId="0" xr:uid="{D84A1791-22D5-45D2-8C92-D37C250BFA6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13th-Oct-24</t>
        </r>
      </text>
    </comment>
    <comment ref="F62" authorId="4" shapeId="0" xr:uid="{58BFFF5E-B9E7-4DF2-A0BC-E79F438B23D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63" authorId="4" shapeId="0" xr:uid="{8835E3B0-ED7F-4240-AB5C-927862D8793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64" authorId="4" shapeId="0" xr:uid="{87EFAE8E-8DC0-4AB9-8AF0-F418D6938FB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
</t>
        </r>
      </text>
    </comment>
    <comment ref="F65" authorId="4" shapeId="0" xr:uid="{907540FA-A2BB-479F-8B32-A47ADAE0753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66" authorId="4" shapeId="0" xr:uid="{6A7CB493-C676-4D03-9DB0-C4B587803AE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67" authorId="4" shapeId="0" xr:uid="{2BF40CD5-6E1D-49F4-AC36-B22621644FA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68" authorId="4" shapeId="0" xr:uid="{A8F541CE-E164-42B7-9F23-BFE3B9FC179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24-11-2024</t>
        </r>
      </text>
    </comment>
    <comment ref="F69" authorId="4" shapeId="0" xr:uid="{C6A4F94A-F28B-4246-8390-65D43990E20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26-11-2024</t>
        </r>
      </text>
    </comment>
    <comment ref="F70" authorId="4" shapeId="0" xr:uid="{E98A3FAA-4417-4EB1-B946-0AA273B7AF4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2" authorId="4" shapeId="0" xr:uid="{51442B76-EB33-4036-B3A8-247267E98A3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3" authorId="4" shapeId="0" xr:uid="{02DD965A-D287-47E0-8802-29DCD3A4F423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4" authorId="4" shapeId="0" xr:uid="{15E047AA-FBB2-4282-889A-67287D593F1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5" authorId="4" shapeId="0" xr:uid="{E1A79547-45A6-46B7-8C34-7EE833B08D6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6" authorId="4" shapeId="0" xr:uid="{B2792632-E4AE-4C6A-9A54-00ACFBC09A5A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7" authorId="4" shapeId="0" xr:uid="{EABD1FE3-D17E-476A-A6F1-081417EAFCDA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22-12-2024</t>
        </r>
      </text>
    </comment>
    <comment ref="F78" authorId="4" shapeId="0" xr:uid="{C598DEDD-683E-4F20-8BA9-8292E27F8C4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79" authorId="4" shapeId="0" xr:uid="{093B02DD-DCFC-4070-8892-6393B28C023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80" authorId="4" shapeId="0" xr:uid="{40263D7E-033C-4456-A005-7A28D2D7FF8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86" authorId="4" shapeId="0" xr:uid="{4E3CC1BA-E474-4131-9701-3C1FE44A6E6E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dare 2nd march 2025</t>
        </r>
      </text>
    </comment>
    <comment ref="F87" authorId="4" shapeId="0" xr:uid="{E84DCEC8-2BBB-4300-9DB9-B4143B57CB4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09-03-2025</t>
        </r>
      </text>
    </comment>
    <comment ref="F88" authorId="4" shapeId="0" xr:uid="{1378849F-78FD-4928-BD27-0622F2DEBA1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16-03-2025</t>
        </r>
      </text>
    </comment>
    <comment ref="F107" authorId="5" shapeId="0" xr:uid="{BB705B14-1ED3-4B0F-99AF-D77C6053F62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contract from 06/10</t>
      </text>
    </comment>
    <comment ref="F109" authorId="6" shapeId="0" xr:uid="{D92C2333-17AF-473D-9247-FF04D222CC2C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contract from 14/10</t>
      </text>
    </comment>
    <comment ref="E117" authorId="7" shapeId="0" xr:uid="{06F074C7-5DD1-424C-92F5-1335121F77FC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24/08</t>
      </text>
    </comment>
    <comment ref="E118" authorId="8" shapeId="0" xr:uid="{AFFF2F69-80EB-413E-99D4-E9393BB51F2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24/08</t>
      </text>
    </comment>
    <comment ref="E119" authorId="9" shapeId="0" xr:uid="{1C119096-6958-4A94-AAF9-15961D31B784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24/08</t>
      </text>
    </comment>
    <comment ref="E120" authorId="10" shapeId="0" xr:uid="{FF18799A-E425-4C62-95C9-B1C0E45D6F3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24/08</t>
      </text>
    </comment>
    <comment ref="E121" authorId="11" shapeId="0" xr:uid="{568189F6-9991-4987-B398-8A398A56B216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24/08</t>
      </text>
    </comment>
    <comment ref="E122" authorId="12" shapeId="0" xr:uid="{9448476E-E735-4953-956F-4C5BD81B8C18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01/09</t>
      </text>
    </comment>
    <comment ref="E123" authorId="13" shapeId="0" xr:uid="{A6C3C5F3-C110-40E0-B5EB-5A315E2B05B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02/09</t>
      </text>
    </comment>
    <comment ref="E124" authorId="14" shapeId="0" xr:uid="{96DC849E-E047-4451-ABEA-9D956A726D5D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07/09</t>
      </text>
    </comment>
    <comment ref="E125" authorId="15" shapeId="0" xr:uid="{80A4A981-F283-4459-8797-CC82B7FF403C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09/09</t>
      </text>
    </comment>
    <comment ref="E126" authorId="16" shapeId="0" xr:uid="{0628F6C5-6029-4D7A-9960-3D5F39C1AEF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21/09/2025</t>
      </text>
    </comment>
    <comment ref="E127" authorId="17" shapeId="0" xr:uid="{78133DAF-43F8-456B-9858-0DCC12A3A05C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21/09/2025</t>
      </text>
    </comment>
    <comment ref="E128" authorId="18" shapeId="0" xr:uid="{6D41C679-177C-40BF-AE53-58E359FB2E48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21/09/2025</t>
      </text>
    </comment>
    <comment ref="E129" authorId="19" shapeId="0" xr:uid="{59DF981F-2B9F-40E8-A022-4FAB91041D15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21/09/2025</t>
      </text>
    </comment>
    <comment ref="E130" authorId="20" shapeId="0" xr:uid="{3FE7FA66-EA1D-47EE-BCBB-62D28A3C51CA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21/09/2025</t>
      </text>
    </comment>
    <comment ref="E131" authorId="21" shapeId="0" xr:uid="{3CE4905E-134F-4202-90BF-786D0BBB4B28}">
      <text>
        <t>[Threaded comment]
Your version of Excel allows you to read this threaded comment; however, any edits to it will get removed if the file is opened in a newer version of Excel. Learn more: https://go.microsoft.com/fwlink/?linkid=870924
Comment:
    Joining Date 05/10</t>
      </text>
    </comment>
    <comment ref="E132" authorId="22" shapeId="0" xr:uid="{5E05B44A-6615-4AC3-81BC-534BCB05C892}">
      <text>
        <t>[Threaded comment]
Your version of Excel allows you to read this threaded comment; however, any edits to it will get removed if the file is opened in a newer version of Excel. Learn more: https://go.microsoft.com/fwlink/?linkid=870924
Comment:
    Joining Date 05/10</t>
      </text>
    </comment>
    <comment ref="E133" authorId="23" shapeId="0" xr:uid="{A08D5138-CE08-4E02-A800-940D24FEBF1E}">
      <text>
        <t>[Threaded comment]
Your version of Excel allows you to read this threaded comment; however, any edits to it will get removed if the file is opened in a newer version of Excel. Learn more: https://go.microsoft.com/fwlink/?linkid=870924
Comment:
    Joining Date 08/10</t>
      </text>
    </comment>
    <comment ref="E134" authorId="24" shapeId="0" xr:uid="{53ED424F-1890-4D71-A64E-7840587784C6}">
      <text>
        <t>[Threaded comment]
Your version of Excel allows you to read this threaded comment; however, any edits to it will get removed if the file is opened in a newer version of Excel. Learn more: https://go.microsoft.com/fwlink/?linkid=870924
Comment:
    Joining Date 26/10/2025</t>
      </text>
    </comment>
    <comment ref="E135" authorId="25" shapeId="0" xr:uid="{293E4277-F5A3-4972-8FA9-BC1654C62D44}">
      <text>
        <t>[Threaded comment]
Your version of Excel allows you to read this threaded comment; however, any edits to it will get removed if the file is opened in a newer version of Excel. Learn more: https://go.microsoft.com/fwlink/?linkid=870924
Comment:
    Joining Date 09/11/2025</t>
      </text>
    </comment>
    <comment ref="E136" authorId="26" shapeId="0" xr:uid="{C281F5C7-240B-4EF4-8F34-9DFE9FA455F5}">
      <text>
        <t>[Threaded comment]
Your version of Excel allows you to read this threaded comment; however, any edits to it will get removed if the file is opened in a newer version of Excel. Learn more: https://go.microsoft.com/fwlink/?linkid=870924
Comment:
    Joining Date 10/11/2025</t>
      </text>
    </comment>
    <comment ref="E137" authorId="27" shapeId="0" xr:uid="{CE51FDE8-AD0F-4EB1-AA93-FB42F1DB03EC}">
      <text>
        <t>[Threaded comment]
Your version of Excel allows you to read this threaded comment; however, any edits to it will get removed if the file is opened in a newer version of Excel. Learn more: https://go.microsoft.com/fwlink/?linkid=870924
Comment:
    Joining Date 11/11/2025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Marah Abu Obaid | Ejada Systems</author>
    <author>Ahmad Abu Eid | Ejada Systems</author>
    <author>tc={D393EF77-0DDC-4D0F-B818-AE29CC7A0EFD}</author>
    <author>tc={423507A7-E511-480D-8F9E-EB92F1272394}</author>
    <author>tc={2379F0A4-8211-4EC2-8A1A-CEFE4E4295D8}</author>
    <author>tc={BED4862F-7EC0-43EB-A3F7-9657C8A77F56}</author>
    <author>tc={D31A021E-A0BA-4BBB-AF10-79C3D647C2E9}</author>
    <author>tc={8AB02AF6-9907-408E-9128-149ACAA7D017}</author>
    <author>tc={AC7ED2DB-B900-4F99-901E-D230F63E5DEC}</author>
    <author>tc={1CCE9575-2A78-447E-88AE-B77625328CFE}</author>
    <author>tc={84AF46E4-85A5-4724-B715-E8C671039A3A}</author>
    <author>tc={EA3AB2D6-19CE-406C-844C-A47E7F9C8767}</author>
    <author>tc={6030F9DC-19C4-4664-92E4-1AC0E6D055BF}</author>
    <author>tc={228D8EC9-7EAC-4C27-8BBB-4FBB253D3DB4}</author>
    <author>tc={FFA30F1A-194F-4AA5-B61A-0FC158482C18}</author>
    <author>tc={0A9DFEBC-E306-4AD3-9EC4-B067DC55A075}</author>
    <author>tc={B3CEC895-2B75-4E85-A2D5-2F468D0A4D34}</author>
    <author>tc={FECBC1C3-246F-4016-9428-71CBCEEC1E96}</author>
    <author>tc={ED88CE26-C30E-47E8-A3BE-12E77EC7EBB4}</author>
    <author>tc={2ABA1BD3-2CD4-49D3-BA4E-B51B710506D6}</author>
    <author>tc={ACAF56F6-D78B-4384-9AB8-5B32E05E9128}</author>
  </authors>
  <commentList>
    <comment ref="F42" authorId="0" shapeId="0" xr:uid="{4EB76E14-CCC0-4974-A833-2B76D75FB63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21st January</t>
        </r>
      </text>
    </comment>
    <comment ref="F43" authorId="0" shapeId="0" xr:uid="{C3BA5E0A-81BC-4C26-AB80-BF9CACDC238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01-02-2024</t>
        </r>
      </text>
    </comment>
    <comment ref="F44" authorId="0" shapeId="0" xr:uid="{A84D9582-BE05-4479-8C4C-E9B09DFFBA3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14-02-2024</t>
        </r>
      </text>
    </comment>
    <comment ref="F45" authorId="0" shapeId="0" xr:uid="{D9C357C8-454B-400C-AEE0-D0E721A0FC3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26-03-2024</t>
        </r>
      </text>
    </comment>
    <comment ref="F46" authorId="0" shapeId="0" xr:uid="{C26DE80E-B2C4-4389-A39A-3B71011E5BD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01.05.2024</t>
        </r>
      </text>
    </comment>
    <comment ref="F47" authorId="0" shapeId="0" xr:uid="{A1F687BD-CE65-422F-987A-5F1D8F005F4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15.05.2024</t>
        </r>
      </text>
    </comment>
    <comment ref="F49" authorId="0" shapeId="0" xr:uid="{5D5E48E9-6AE7-4BB8-9F20-D9443468204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06-08-2024</t>
        </r>
      </text>
    </comment>
    <comment ref="F50" authorId="0" shapeId="0" xr:uid="{64843B17-E7A8-43E1-AE1E-F5F4745A65C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11th August</t>
        </r>
      </text>
    </comment>
    <comment ref="E51" authorId="0" shapeId="0" xr:uid="{B9337788-ED32-4A92-B2B1-4B0A2D79A42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Joiining date 21 august</t>
        </r>
      </text>
    </comment>
    <comment ref="E55" authorId="1" shapeId="0" xr:uid="{9415159B-0BD1-4173-B3FD-2EE49CA55428}">
      <text>
        <r>
          <rPr>
            <b/>
            <sz val="9"/>
            <color indexed="81"/>
            <rFont val="Tahoma"/>
            <family val="2"/>
          </rPr>
          <t>Marah Abu Obaid | Ejada Systems:
New contract from 01 Oct 2025- change in title &amp; Salary</t>
        </r>
      </text>
    </comment>
    <comment ref="F57" authorId="2" shapeId="0" xr:uid="{402043BE-2A25-4E35-95E5-7AE8AAC715C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29-Sep-24</t>
        </r>
      </text>
    </comment>
    <comment ref="F58" authorId="2" shapeId="0" xr:uid="{11F6EC68-7E1F-4B8C-AE2F-C22558D4730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59" authorId="2" shapeId="0" xr:uid="{C854598B-2ACA-4957-BF93-6E060A1FABF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60" authorId="2" shapeId="0" xr:uid="{7FD34F8B-C2AC-4AE1-B3E3-00C6790EE46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1" authorId="2" shapeId="0" xr:uid="{0EB0CEA7-FCA2-4E60-B663-02B4BC19B53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2" authorId="2" shapeId="0" xr:uid="{31574FB0-F09E-4969-9E79-1D52F3F23C6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13th-Oct-24</t>
        </r>
      </text>
    </comment>
    <comment ref="F63" authorId="2" shapeId="0" xr:uid="{20C22A98-BF49-4AA9-8441-07442AB5C19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64" authorId="2" shapeId="0" xr:uid="{D91D6978-E6F6-4616-A410-43A559CDA4F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65" authorId="2" shapeId="0" xr:uid="{6EA4DF7B-9540-4033-8A57-099878699947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
</t>
        </r>
      </text>
    </comment>
    <comment ref="F66" authorId="2" shapeId="0" xr:uid="{794A2C91-54F0-4F97-BA4C-E387265B9D7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67" authorId="2" shapeId="0" xr:uid="{CD38EEEA-D82C-4340-8461-C736390E6D6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68" authorId="2" shapeId="0" xr:uid="{50A65B38-B7F8-4318-9845-F705B92C4ED3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69" authorId="2" shapeId="0" xr:uid="{F20CBE28-CE2F-463C-8102-A8A04CD5E16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24-11-2024</t>
        </r>
      </text>
    </comment>
    <comment ref="F70" authorId="2" shapeId="0" xr:uid="{D1D5F78B-4442-42F5-811A-D7642EAB5A2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26-11-2024</t>
        </r>
      </text>
    </comment>
    <comment ref="F71" authorId="2" shapeId="0" xr:uid="{AB56CA1A-A095-40F9-A55C-759A6476D84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3" authorId="2" shapeId="0" xr:uid="{98E58A0D-14C0-486F-A802-96FCE750F97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4" authorId="2" shapeId="0" xr:uid="{5B23F7F8-4773-4827-AC9A-675ED1B72C1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5" authorId="2" shapeId="0" xr:uid="{0CD43BCB-0746-4BDF-9B6F-7A1F3718232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6" authorId="2" shapeId="0" xr:uid="{246C94B6-EA9B-480C-B001-ECA3FB2EF27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7" authorId="2" shapeId="0" xr:uid="{07D7B05A-4F19-48B5-8878-9264A4301F23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8" authorId="2" shapeId="0" xr:uid="{32670A1D-6997-45B6-BFD1-8EA13CEE2B8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22-12-2024</t>
        </r>
      </text>
    </comment>
    <comment ref="F79" authorId="2" shapeId="0" xr:uid="{9108B6F6-0752-41CA-A057-C4A3792BDB03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80" authorId="2" shapeId="0" xr:uid="{6B6DC76F-4DBD-43C1-9E52-A841A9BE918A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81" authorId="2" shapeId="0" xr:uid="{CA71406A-0C91-4D6C-BA57-0518AC37CE9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87" authorId="2" shapeId="0" xr:uid="{70FAF922-02B9-4601-BFD4-9A8E109FEDF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dare 2nd march 2025</t>
        </r>
      </text>
    </comment>
    <comment ref="F88" authorId="2" shapeId="0" xr:uid="{9738B235-8AE6-4907-893B-8224A17D7CD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09-03-2025</t>
        </r>
      </text>
    </comment>
    <comment ref="F89" authorId="2" shapeId="0" xr:uid="{8683CC40-ED79-49C6-96C9-51FBEA071B2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16-03-2025</t>
        </r>
      </text>
    </comment>
    <comment ref="F108" authorId="3" shapeId="0" xr:uid="{D393EF77-0DDC-4D0F-B818-AE29CC7A0EF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contract from 06/10</t>
      </text>
    </comment>
    <comment ref="F110" authorId="4" shapeId="0" xr:uid="{423507A7-E511-480D-8F9E-EB92F1272394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contract from 14/10</t>
      </text>
    </comment>
    <comment ref="E118" authorId="5" shapeId="0" xr:uid="{2379F0A4-8211-4EC2-8A1A-CEFE4E4295D8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24/08</t>
      </text>
    </comment>
    <comment ref="E119" authorId="6" shapeId="0" xr:uid="{BED4862F-7EC0-43EB-A3F7-9657C8A77F56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24/08</t>
      </text>
    </comment>
    <comment ref="E120" authorId="7" shapeId="0" xr:uid="{D31A021E-A0BA-4BBB-AF10-79C3D647C2E9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24/08</t>
      </text>
    </comment>
    <comment ref="E121" authorId="8" shapeId="0" xr:uid="{8AB02AF6-9907-408E-9128-149ACAA7D01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24/08</t>
      </text>
    </comment>
    <comment ref="E122" authorId="9" shapeId="0" xr:uid="{AC7ED2DB-B900-4F99-901E-D230F63E5DEC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24/08</t>
      </text>
    </comment>
    <comment ref="E123" authorId="10" shapeId="0" xr:uid="{1CCE9575-2A78-447E-88AE-B77625328CFE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01/09</t>
      </text>
    </comment>
    <comment ref="E124" authorId="11" shapeId="0" xr:uid="{84AF46E4-85A5-4724-B715-E8C671039A3A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02/09</t>
      </text>
    </comment>
    <comment ref="E125" authorId="12" shapeId="0" xr:uid="{EA3AB2D6-19CE-406C-844C-A47E7F9C876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07/09</t>
      </text>
    </comment>
    <comment ref="E126" authorId="13" shapeId="0" xr:uid="{6030F9DC-19C4-4664-92E4-1AC0E6D055B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09/09</t>
      </text>
    </comment>
    <comment ref="E127" authorId="14" shapeId="0" xr:uid="{228D8EC9-7EAC-4C27-8BBB-4FBB253D3DB4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21/09/2025</t>
      </text>
    </comment>
    <comment ref="E128" authorId="15" shapeId="0" xr:uid="{FFA30F1A-194F-4AA5-B61A-0FC158482C18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21/09/2025</t>
      </text>
    </comment>
    <comment ref="E129" authorId="16" shapeId="0" xr:uid="{0A9DFEBC-E306-4AD3-9EC4-B067DC55A075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21/09/2025</t>
      </text>
    </comment>
    <comment ref="E130" authorId="17" shapeId="0" xr:uid="{B3CEC895-2B75-4E85-A2D5-2F468D0A4D34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21/09/2025</t>
      </text>
    </comment>
    <comment ref="E131" authorId="18" shapeId="0" xr:uid="{FECBC1C3-246F-4016-9428-71CBCEEC1E96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date 21/09/2025</t>
      </text>
    </comment>
    <comment ref="E132" authorId="19" shapeId="0" xr:uid="{ED88CE26-C30E-47E8-A3BE-12E77EC7EBB4}">
      <text>
        <t>[Threaded comment]
Your version of Excel allows you to read this threaded comment; however, any edits to it will get removed if the file is opened in a newer version of Excel. Learn more: https://go.microsoft.com/fwlink/?linkid=870924
Comment:
    Joining Date 05/10</t>
      </text>
    </comment>
    <comment ref="E133" authorId="20" shapeId="0" xr:uid="{2ABA1BD3-2CD4-49D3-BA4E-B51B710506D6}">
      <text>
        <t>[Threaded comment]
Your version of Excel allows you to read this threaded comment; however, any edits to it will get removed if the file is opened in a newer version of Excel. Learn more: https://go.microsoft.com/fwlink/?linkid=870924
Comment:
    Joining Date 05/10</t>
      </text>
    </comment>
    <comment ref="E134" authorId="21" shapeId="0" xr:uid="{ACAF56F6-D78B-4384-9AB8-5B32E05E9128}">
      <text>
        <t>[Threaded comment]
Your version of Excel allows you to read this threaded comment; however, any edits to it will get removed if the file is opened in a newer version of Excel. Learn more: https://go.microsoft.com/fwlink/?linkid=870924
Comment:
    Joining Date 08/10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Ahmad Abu Eid | Ejada Systems</author>
  </authors>
  <commentList>
    <comment ref="F42" authorId="0" shapeId="0" xr:uid="{39769A73-C841-419E-9B49-8629EECABF5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21st January</t>
        </r>
      </text>
    </comment>
    <comment ref="F43" authorId="0" shapeId="0" xr:uid="{87CBF688-8D39-4FAB-A182-0D45015C018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01-02-2024</t>
        </r>
      </text>
    </comment>
    <comment ref="F44" authorId="0" shapeId="0" xr:uid="{D49F6D75-7322-4514-9413-8ED34F879B5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14-02-2024</t>
        </r>
      </text>
    </comment>
    <comment ref="F45" authorId="0" shapeId="0" xr:uid="{88049DEB-6833-4A07-83B7-D3537E456B9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26-03-2024</t>
        </r>
      </text>
    </comment>
    <comment ref="F46" authorId="0" shapeId="0" xr:uid="{C81F8643-79CF-4F6C-B730-5CB14A7D16F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01.05.2024</t>
        </r>
      </text>
    </comment>
    <comment ref="F47" authorId="0" shapeId="0" xr:uid="{83AF291A-B530-4FB1-BDC9-0095DF69F3C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15.05.2024</t>
        </r>
      </text>
    </comment>
    <comment ref="F50" authorId="0" shapeId="0" xr:uid="{59CE9D48-3309-4AE2-A1EE-649F1A86926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06-08-2024</t>
        </r>
      </text>
    </comment>
    <comment ref="F51" authorId="0" shapeId="0" xr:uid="{DEE6D6E6-3424-474E-9EED-B2B22760B0C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11th August</t>
        </r>
      </text>
    </comment>
    <comment ref="E52" authorId="0" shapeId="0" xr:uid="{46617814-07FB-4F0D-846E-2A0BFD134E5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Joiining date 21 august</t>
        </r>
      </text>
    </comment>
    <comment ref="E58" authorId="1" shapeId="0" xr:uid="{2D3926C4-50C0-44A1-BC7C-F9A2A41F087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اجازة امومة</t>
        </r>
      </text>
    </comment>
    <comment ref="F58" authorId="1" shapeId="0" xr:uid="{4E412B79-7E81-4325-B789-39E23C67DE5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18-Sep-24
1562</t>
        </r>
      </text>
    </comment>
    <comment ref="F59" authorId="1" shapeId="0" xr:uid="{60867035-53DA-46B4-9478-657A65766CC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29-Sep-24</t>
        </r>
      </text>
    </comment>
    <comment ref="F60" authorId="1" shapeId="0" xr:uid="{26210308-C01D-4C2A-8ED8-8F421FB1A7B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61" authorId="1" shapeId="0" xr:uid="{5B5C7770-ADDC-4122-ABEC-8D6B9CFBAC5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62" authorId="1" shapeId="0" xr:uid="{C123EE74-DDDA-4275-99EA-5D95ECD9B42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2nd - Oct - 24</t>
        </r>
      </text>
    </comment>
    <comment ref="F63" authorId="1" shapeId="0" xr:uid="{332D2C7A-5851-420C-A8F6-448E79ECCC7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4" authorId="1" shapeId="0" xr:uid="{2B2DB5BD-9CD6-4FA8-AE9D-D896288E9F8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5" authorId="1" shapeId="0" xr:uid="{1EE1DA18-F784-4E68-846D-662E17F5C59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13th-Oct-24</t>
        </r>
      </text>
    </comment>
    <comment ref="F66" authorId="1" shapeId="0" xr:uid="{CF9F332F-CD5A-45C5-88FD-19D5DF62466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67" authorId="1" shapeId="0" xr:uid="{6A40221A-98FD-4EAE-A06C-7DAD5C29C44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68" authorId="1" shapeId="0" xr:uid="{C6EA4E58-FB17-4F2C-BACF-EDA902CF673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
</t>
        </r>
      </text>
    </comment>
    <comment ref="F69" authorId="1" shapeId="0" xr:uid="{D405635C-78BD-4779-AC78-8103AF65B5C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0" authorId="1" shapeId="0" xr:uid="{B7C3E854-5C3B-49DE-AC84-08DFFD6BB78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1" authorId="1" shapeId="0" xr:uid="{D4CE5874-1FAD-4B2E-AC35-8B73DF06E50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2" authorId="1" shapeId="0" xr:uid="{6FC7026E-E836-4140-BF8D-5906F7EB69F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24-11-2024</t>
        </r>
      </text>
    </comment>
    <comment ref="F73" authorId="1" shapeId="0" xr:uid="{A313D918-18E8-4D34-8D96-C8BE2ACAC3B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26-11-2024</t>
        </r>
      </text>
    </comment>
    <comment ref="F74" authorId="1" shapeId="0" xr:uid="{FD390588-511B-483A-926D-91C8C1C407DE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6" authorId="1" shapeId="0" xr:uid="{4CF29587-2270-4A20-9E95-7DB31ED0D29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7" authorId="1" shapeId="0" xr:uid="{5B667165-5061-4F60-9CE0-069B9DB6745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8" authorId="1" shapeId="0" xr:uid="{93F915B1-C4ED-4C14-8CC5-28BF1FF4233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9" authorId="1" shapeId="0" xr:uid="{556D77E8-2F48-49E1-8172-920058C8495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0" authorId="1" shapeId="0" xr:uid="{77958463-020D-40EF-9DE4-F62A39813CA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1" authorId="1" shapeId="0" xr:uid="{D6786574-8E9F-494A-A181-9575EBEAE003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2" authorId="1" shapeId="0" xr:uid="{3A0BE3CE-2EAF-4BF4-81E8-7126BE23078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22-12-2024</t>
        </r>
      </text>
    </comment>
    <comment ref="F83" authorId="1" shapeId="0" xr:uid="{3E03F2BB-ED38-4E38-8BF6-2DBAF673DD9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84" authorId="1" shapeId="0" xr:uid="{71CD0EAB-9319-4161-8401-7DEA2C259A2E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85" authorId="1" shapeId="0" xr:uid="{3F1D2FC7-185D-441D-A1F5-9C27FF044BC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91" authorId="1" shapeId="0" xr:uid="{77C70327-FBFC-475D-83AB-5D7DC96DE73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dare 2nd march 2025</t>
        </r>
      </text>
    </comment>
    <comment ref="F92" authorId="1" shapeId="0" xr:uid="{B9C6B21A-400B-434A-97FE-80A9F3CFD07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09-03-2025</t>
        </r>
      </text>
    </comment>
    <comment ref="F93" authorId="1" shapeId="0" xr:uid="{B43CEB7C-2B35-4E73-9FF5-05B36D3743A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16-03-2025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Ahmad Abu Eid | Ejada Systems</author>
  </authors>
  <commentList>
    <comment ref="F44" authorId="0" shapeId="0" xr:uid="{36E45BF6-491F-4319-8F49-B17A1159E68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21st January</t>
        </r>
      </text>
    </comment>
    <comment ref="F45" authorId="0" shapeId="0" xr:uid="{54AEC0D5-5853-4F1C-A894-5E3824A6A55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01-02-2024</t>
        </r>
      </text>
    </comment>
    <comment ref="F46" authorId="0" shapeId="0" xr:uid="{94F76132-D545-43FC-BC75-1796E13C86C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14-02-2024</t>
        </r>
      </text>
    </comment>
    <comment ref="F47" authorId="0" shapeId="0" xr:uid="{C76F996B-CE15-4A8C-9CB4-D60394D03BD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26-03-2024</t>
        </r>
      </text>
    </comment>
    <comment ref="F48" authorId="0" shapeId="0" xr:uid="{BFD77B33-69C6-4F3B-88AD-2306743747D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01.05.2024</t>
        </r>
      </text>
    </comment>
    <comment ref="F49" authorId="0" shapeId="0" xr:uid="{D07BB6B6-745F-45FD-AA6A-E52032138B0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15.05.2024</t>
        </r>
      </text>
    </comment>
    <comment ref="F52" authorId="0" shapeId="0" xr:uid="{48969DAE-4C85-40E1-9B3A-89F5FFB7FE6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06-08-2024</t>
        </r>
      </text>
    </comment>
    <comment ref="F53" authorId="0" shapeId="0" xr:uid="{C4E22190-FD12-4463-9ECE-2F0D1F87647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11th August</t>
        </r>
      </text>
    </comment>
    <comment ref="E54" authorId="0" shapeId="0" xr:uid="{F5F69BCE-0802-445E-A14C-848D8580926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Joiining date 21 august</t>
        </r>
      </text>
    </comment>
    <comment ref="E60" authorId="1" shapeId="0" xr:uid="{0D5E3CBC-8AA5-4E3C-8F66-D1205624ED6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اجازة امومة</t>
        </r>
      </text>
    </comment>
    <comment ref="F60" authorId="1" shapeId="0" xr:uid="{41BF54E0-244E-4A1D-8174-4C0549C3583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18-Sep-24
1562</t>
        </r>
      </text>
    </comment>
    <comment ref="F61" authorId="1" shapeId="0" xr:uid="{54BF7809-3D44-43E8-A18F-72874C27280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29-Sep-24</t>
        </r>
      </text>
    </comment>
    <comment ref="F62" authorId="1" shapeId="0" xr:uid="{C974AC15-9B2B-433F-9127-E196DCAE8F7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63" authorId="1" shapeId="0" xr:uid="{5EF0710C-4D9C-40BB-8135-CD371759EAC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64" authorId="1" shapeId="0" xr:uid="{7485E3AD-EEFE-459C-B370-543E4E5DC6A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2nd - Oct - 24</t>
        </r>
      </text>
    </comment>
    <comment ref="F65" authorId="1" shapeId="0" xr:uid="{5D59C958-FCAF-4F31-AC41-094E16AEE6B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6" authorId="1" shapeId="0" xr:uid="{43FA83F7-2D9D-4017-A657-3BB4B1B5FFA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7" authorId="1" shapeId="0" xr:uid="{B4A49CD0-3BF3-40B4-95EC-161B7280A28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13th-Oct-24</t>
        </r>
      </text>
    </comment>
    <comment ref="F68" authorId="1" shapeId="0" xr:uid="{F6FBF383-47EE-4E1E-8A92-6B3085A64D3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69" authorId="1" shapeId="0" xr:uid="{D9813B33-A3C9-4595-9A72-2E56B9F7E057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70" authorId="1" shapeId="0" xr:uid="{B19620EC-3FD9-49C5-B9C0-654961CCA3E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
</t>
        </r>
      </text>
    </comment>
    <comment ref="F71" authorId="1" shapeId="0" xr:uid="{D9E030B2-B24A-4B9F-B73F-84693808690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2" authorId="1" shapeId="0" xr:uid="{B79FFE87-3A46-43DD-96F9-F9CC153286D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3" authorId="1" shapeId="0" xr:uid="{AE1DBFAA-EF2D-42D5-B442-7A7C6716C413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4" authorId="1" shapeId="0" xr:uid="{CE8D31DC-F5EB-49BF-A65B-AC346286D4A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5" authorId="1" shapeId="0" xr:uid="{7ABCD9FF-4C6B-4ECE-92E8-48ED7588287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24-11-2024</t>
        </r>
      </text>
    </comment>
    <comment ref="F76" authorId="1" shapeId="0" xr:uid="{CFDA509E-CBC5-4D88-B1C5-7524245F916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26-11-2024</t>
        </r>
      </text>
    </comment>
    <comment ref="F77" authorId="1" shapeId="0" xr:uid="{E6192653-37CB-4744-AB4D-C6C4A7E87B6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79" authorId="1" shapeId="0" xr:uid="{5E67232C-D595-4181-9AA7-DE72426C8EB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0" authorId="1" shapeId="0" xr:uid="{5D010044-E66D-4E5B-91ED-AE777CD5ED7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1" authorId="1" shapeId="0" xr:uid="{A4EF2B3C-1768-4820-85F0-3BCB08E833A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2" authorId="1" shapeId="0" xr:uid="{831F9991-FBE6-4DB2-840A-98DEFEAFF4B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3" authorId="1" shapeId="0" xr:uid="{7E231E29-35CB-488B-A67A-A69A7F58C41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4" authorId="1" shapeId="0" xr:uid="{9567F539-37AC-46DF-A6E4-6FD1D15A14D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5" authorId="1" shapeId="0" xr:uid="{D33FF3F7-9779-471C-9166-1C6188011A0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22-12-2024</t>
        </r>
      </text>
    </comment>
    <comment ref="F86" authorId="1" shapeId="0" xr:uid="{5782320F-7FF8-45AA-9729-E246E23652F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87" authorId="1" shapeId="0" xr:uid="{23784C2B-E688-46C2-B75D-E1A46C7BB997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88" authorId="1" shapeId="0" xr:uid="{78B60312-F42B-46FD-82D4-3429C44556E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94" authorId="1" shapeId="0" xr:uid="{60A05800-BF66-4D1E-AC1D-E435F05F47D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dare 2nd march 2025</t>
        </r>
      </text>
    </comment>
    <comment ref="F95" authorId="1" shapeId="0" xr:uid="{093046BC-5CA0-46F3-9807-238944140F73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09-03-2025</t>
        </r>
      </text>
    </comment>
    <comment ref="F96" authorId="1" shapeId="0" xr:uid="{F13DCF0F-1FC0-481C-B3EF-EC1EAA48D7F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16-03-2025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Ahmad Abu Eid | Ejada Systems</author>
  </authors>
  <commentList>
    <comment ref="F44" authorId="0" shapeId="0" xr:uid="{DED4F4B7-08CF-4ED1-8BE8-5AE34A46B1F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21st January</t>
        </r>
      </text>
    </comment>
    <comment ref="F45" authorId="0" shapeId="0" xr:uid="{6F7BBFB8-628F-4E42-B66F-BCC48FF1160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01-02-2024</t>
        </r>
      </text>
    </comment>
    <comment ref="F46" authorId="0" shapeId="0" xr:uid="{7B28D0EC-4C9A-4BAB-87DD-916DB3E90CA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14-02-2024</t>
        </r>
      </text>
    </comment>
    <comment ref="F47" authorId="0" shapeId="0" xr:uid="{5550C216-3B36-4E9C-B1CB-CF307E77274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24.03.2024</t>
        </r>
      </text>
    </comment>
    <comment ref="F48" authorId="0" shapeId="0" xr:uid="{2E0A8772-1EBA-44FD-8AF3-5098E9B3DF2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26-03-2024</t>
        </r>
      </text>
    </comment>
    <comment ref="F49" authorId="0" shapeId="0" xr:uid="{27EB504E-CBD1-4BBD-9A05-B263E973D02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01.05.2024</t>
        </r>
      </text>
    </comment>
    <comment ref="F50" authorId="0" shapeId="0" xr:uid="{4D490302-7B89-45AF-8037-035C5E746E1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15.05.2024</t>
        </r>
      </text>
    </comment>
    <comment ref="F53" authorId="0" shapeId="0" xr:uid="{3C43FFED-FE3C-4741-AC3C-F0B20E5D8F3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06-08-2024</t>
        </r>
      </text>
    </comment>
    <comment ref="F54" authorId="0" shapeId="0" xr:uid="{611EE362-6413-4467-B263-A5AFAC62C58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11th August</t>
        </r>
      </text>
    </comment>
    <comment ref="E55" authorId="0" shapeId="0" xr:uid="{AA7111B6-7405-4731-B07A-8361BC25327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Joiining date 21 august</t>
        </r>
      </text>
    </comment>
    <comment ref="E61" authorId="1" shapeId="0" xr:uid="{CF9F7C78-87A1-485B-84CD-9E046C25B893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اجازة امومة</t>
        </r>
      </text>
    </comment>
    <comment ref="F61" authorId="1" shapeId="0" xr:uid="{9F619262-D7C8-4727-B25C-BC51E28AB1A3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18-Sep-24
1562</t>
        </r>
      </text>
    </comment>
    <comment ref="F62" authorId="1" shapeId="0" xr:uid="{6AB5E67C-F8F9-47B4-AF79-F1F9FF2CF7D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29-Sep-24</t>
        </r>
      </text>
    </comment>
    <comment ref="F63" authorId="1" shapeId="0" xr:uid="{FDE8E588-4D54-484C-BB71-293DDEA05F5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64" authorId="1" shapeId="0" xr:uid="{328DE289-9EDC-4904-8320-1EF8B580811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65" authorId="1" shapeId="0" xr:uid="{FA96CBDB-7EEE-465A-8D6C-90AE5BCDCC0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2nd - Oct - 24</t>
        </r>
      </text>
    </comment>
    <comment ref="F66" authorId="1" shapeId="0" xr:uid="{8B86138E-2D8B-4CDF-A4D0-96E81BA0CA9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7" authorId="1" shapeId="0" xr:uid="{9B6ACD62-3023-4C2C-ACDA-9689590FD91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8" authorId="1" shapeId="0" xr:uid="{FAB27F4A-9D58-4797-A00F-638C36AAFAB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13th-Oct-24</t>
        </r>
      </text>
    </comment>
    <comment ref="F69" authorId="1" shapeId="0" xr:uid="{A0ACB4C5-63C1-4CE7-96EF-43718C599DE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13th-Oct-24</t>
        </r>
      </text>
    </comment>
    <comment ref="F70" authorId="1" shapeId="0" xr:uid="{171D5DEB-2CE8-4768-AFEF-0DF05BC171CA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71" authorId="1" shapeId="0" xr:uid="{7C8DCDEF-9ECB-4656-8E9B-BC4E6739E5A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72" authorId="1" shapeId="0" xr:uid="{C5165417-AF02-4047-BA61-CFFBBE8260BA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
</t>
        </r>
      </text>
    </comment>
    <comment ref="F73" authorId="1" shapeId="0" xr:uid="{69D82802-A72E-42A9-BA65-E37144E559D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4" authorId="1" shapeId="0" xr:uid="{7A432448-D224-44AB-B970-1AD5011ACD8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5" authorId="1" shapeId="0" xr:uid="{C56F2CDB-E84D-4A97-A8DA-F8CC2A84DF97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6" authorId="1" shapeId="0" xr:uid="{4219C81A-D8D7-4F49-9F09-50BE7DA8537E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7" authorId="1" shapeId="0" xr:uid="{17843FD9-8F4F-4435-ACC0-6A5C48704F8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24-11-2024</t>
        </r>
      </text>
    </comment>
    <comment ref="F78" authorId="1" shapeId="0" xr:uid="{C9F7F932-A63F-4FB6-98DB-09433F85624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26-11-2024</t>
        </r>
      </text>
    </comment>
    <comment ref="F79" authorId="1" shapeId="0" xr:uid="{85CBDE50-1F81-41D1-B0CF-0206742A6487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1" authorId="1" shapeId="0" xr:uid="{2D749931-CC40-44FC-81CB-4A674BEA550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2" authorId="1" shapeId="0" xr:uid="{97581628-DE95-49F7-B383-E163A91741C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3" authorId="1" shapeId="0" xr:uid="{B6B9D17C-0465-4305-B18A-F60DAE5AF31A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4" authorId="1" shapeId="0" xr:uid="{13491852-D5BD-4B1D-A02F-EAB8DB7FB2E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5" authorId="1" shapeId="0" xr:uid="{BEED97A0-3FDA-4E6D-8779-C664B73DF1FA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6" authorId="1" shapeId="0" xr:uid="{5026DA9A-8AA6-40D9-BAC7-EFAECE8E648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7" authorId="1" shapeId="0" xr:uid="{ED4BA78F-880E-4C50-95D8-72D565DBD85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22-12-2024</t>
        </r>
      </text>
    </comment>
    <comment ref="F88" authorId="1" shapeId="0" xr:uid="{6BF936BC-C128-4826-820A-5E324A52F2F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89" authorId="1" shapeId="0" xr:uid="{81B0A69B-325C-40AC-978B-4B4D679A8B1A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90" authorId="1" shapeId="0" xr:uid="{1983B491-8165-462B-A592-0FB6F2D315D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96" authorId="1" shapeId="0" xr:uid="{F44C4E9C-A78F-4A75-A451-F534AF4EDB7A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dare 2nd march 2025</t>
        </r>
      </text>
    </comment>
    <comment ref="F97" authorId="1" shapeId="0" xr:uid="{1909128E-3928-4160-8545-8559B801D44A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09-03-2025</t>
        </r>
      </text>
    </comment>
    <comment ref="F98" authorId="1" shapeId="0" xr:uid="{AC95B727-2AB4-4792-A9DC-8DA938BED25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16-03-2025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Ahmad Abu Eid | Ejada Systems</author>
  </authors>
  <commentList>
    <comment ref="F44" authorId="0" shapeId="0" xr:uid="{6B504540-2F97-4C07-A554-9CBFEDDC0A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21st January</t>
        </r>
      </text>
    </comment>
    <comment ref="F45" authorId="0" shapeId="0" xr:uid="{63F65418-163E-4D30-8613-8963C1A4589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01-02-2024</t>
        </r>
      </text>
    </comment>
    <comment ref="F46" authorId="0" shapeId="0" xr:uid="{681E7CB3-DDBC-46F6-B8A1-A0B9CADC951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14-02-2024</t>
        </r>
      </text>
    </comment>
    <comment ref="F47" authorId="0" shapeId="0" xr:uid="{A2294886-B4BC-4FA6-990C-2B93AF182F3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24.03.2024</t>
        </r>
      </text>
    </comment>
    <comment ref="F48" authorId="0" shapeId="0" xr:uid="{F1AB2CCB-B6BE-49D0-B500-383C4F364B6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26-03-2024</t>
        </r>
      </text>
    </comment>
    <comment ref="F49" authorId="0" shapeId="0" xr:uid="{80081283-A289-4B72-8113-8C39C6CB40C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01.05.2024</t>
        </r>
      </text>
    </comment>
    <comment ref="F50" authorId="0" shapeId="0" xr:uid="{85805763-3A79-45D9-B690-3B5ADC6C86F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15.05.2024</t>
        </r>
      </text>
    </comment>
    <comment ref="F53" authorId="0" shapeId="0" xr:uid="{DD5ABD06-0493-4B31-9033-7AE1DFFAA47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06-08-2024</t>
        </r>
      </text>
    </comment>
    <comment ref="F54" authorId="0" shapeId="0" xr:uid="{D81F6814-50AB-42ED-8E93-C62D104101B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11th August</t>
        </r>
      </text>
    </comment>
    <comment ref="E55" authorId="0" shapeId="0" xr:uid="{340B606C-6C14-419C-8EE4-DF6043960C3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Joiining date 21 august</t>
        </r>
      </text>
    </comment>
    <comment ref="E61" authorId="1" shapeId="0" xr:uid="{EBAD6D75-4670-4473-88C4-596CFC37C6F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اجازة امومة</t>
        </r>
      </text>
    </comment>
    <comment ref="F61" authorId="1" shapeId="0" xr:uid="{E53520AF-E8AF-4883-BEA9-4102FA05BBD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18-Sep-24
1562</t>
        </r>
      </text>
    </comment>
    <comment ref="F62" authorId="1" shapeId="0" xr:uid="{8BE22212-7DC2-4A94-8ADC-6E20D95ADAD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29-Sep-24</t>
        </r>
      </text>
    </comment>
    <comment ref="F63" authorId="1" shapeId="0" xr:uid="{626D6EA3-0A53-4EB9-AFAA-D31D3D85B0E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64" authorId="1" shapeId="0" xr:uid="{D80A405F-05EA-4E89-A430-ABE6EEAAB58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65" authorId="1" shapeId="0" xr:uid="{8F0A6CAB-B69D-4750-B897-CF788E9F3A93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2nd - Oct - 24</t>
        </r>
      </text>
    </comment>
    <comment ref="F66" authorId="1" shapeId="0" xr:uid="{42510824-ED92-4B67-8165-40A8E370BAA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7" authorId="1" shapeId="0" xr:uid="{7D212DAF-EE8B-4380-87B4-A46E31F30B5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8" authorId="1" shapeId="0" xr:uid="{0E795EDC-3B17-40C0-BD04-97B75AFCBB4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13th-Oct-24</t>
        </r>
      </text>
    </comment>
    <comment ref="F69" authorId="1" shapeId="0" xr:uid="{8779FCE5-C182-4BA3-9B67-10D5F9926F8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13th-Oct-24</t>
        </r>
      </text>
    </comment>
    <comment ref="F70" authorId="1" shapeId="0" xr:uid="{B559E5A7-106A-42F6-A188-0AEA08481AA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71" authorId="1" shapeId="0" xr:uid="{5AA62870-6687-4CE3-AEF1-7D874AF432B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72" authorId="1" shapeId="0" xr:uid="{2D7167B6-ED36-4C36-991E-D1E17BA41EC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
</t>
        </r>
      </text>
    </comment>
    <comment ref="F73" authorId="1" shapeId="0" xr:uid="{9C0C2F66-8C24-477C-BAE3-6001D879FD9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4" authorId="1" shapeId="0" xr:uid="{07B3973E-B7E8-403B-8C48-92C2DA856A5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5" authorId="1" shapeId="0" xr:uid="{120DAA1E-DA41-4839-B3EE-420E2EC3DB6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6" authorId="1" shapeId="0" xr:uid="{68DEDFD0-0154-42B1-B5B3-9968252C91B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7" authorId="1" shapeId="0" xr:uid="{6543AF63-5097-4486-9F56-46C8CBD10CB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24-11-2024</t>
        </r>
      </text>
    </comment>
    <comment ref="F78" authorId="1" shapeId="0" xr:uid="{8FBFC54F-7206-4281-94FE-4CC41FFABB6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26-11-2024</t>
        </r>
      </text>
    </comment>
    <comment ref="F79" authorId="1" shapeId="0" xr:uid="{F432B449-3356-4E46-A262-2440F85C942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1" authorId="1" shapeId="0" xr:uid="{FD6A7F6E-9F13-4F15-979B-D7A6FC37AA4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2" authorId="1" shapeId="0" xr:uid="{31C978DB-D5D3-4F78-914A-17FC7DA2E67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3" authorId="1" shapeId="0" xr:uid="{673681BF-3002-4AE3-B110-F936AD944B2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4" authorId="1" shapeId="0" xr:uid="{F0654BC8-88D3-422B-B015-22F02EBC15AA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5" authorId="1" shapeId="0" xr:uid="{260171C6-36AF-4200-B067-B29591872D6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6" authorId="1" shapeId="0" xr:uid="{659B24D1-F65D-43EA-8A5B-316618A9DA9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7" authorId="1" shapeId="0" xr:uid="{D69C0CDD-7154-495D-A79B-1F6EFD923AE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22-12-2024</t>
        </r>
      </text>
    </comment>
    <comment ref="F88" authorId="1" shapeId="0" xr:uid="{9B463980-9B33-459F-85CB-84DF35F2D21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89" authorId="1" shapeId="0" xr:uid="{BA73FFBF-669B-4E17-929D-2418F7B0FC7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90" authorId="1" shapeId="0" xr:uid="{4BA7AFC9-A9FA-4FE7-A290-DEF60AAC807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97" authorId="1" shapeId="0" xr:uid="{1F3A0AF4-1195-4BD8-9698-40D0D2B9D94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dare 2nd march 2025</t>
        </r>
      </text>
    </comment>
    <comment ref="F98" authorId="1" shapeId="0" xr:uid="{7EA768A0-5A57-4EA8-8D36-DDA71807F47E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09-03-2025</t>
        </r>
      </text>
    </comment>
    <comment ref="F99" authorId="1" shapeId="0" xr:uid="{7F34897E-E175-4417-8EEC-C60A2429494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16-03-2025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Ahmad Abu Eid | Ejada Systems</author>
  </authors>
  <commentList>
    <comment ref="F45" authorId="0" shapeId="0" xr:uid="{4F0C6319-7AAD-4884-BCEF-6753113BB03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21st January</t>
        </r>
      </text>
    </comment>
    <comment ref="F46" authorId="0" shapeId="0" xr:uid="{A4D1BE0D-7A38-44CC-8B10-346FCADEC2A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01-02-2024</t>
        </r>
      </text>
    </comment>
    <comment ref="F47" authorId="0" shapeId="0" xr:uid="{BDA1222A-E2CC-4244-9DAB-D957EE4B7FE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14-02-2024</t>
        </r>
      </text>
    </comment>
    <comment ref="F48" authorId="0" shapeId="0" xr:uid="{FFBF358D-280E-4F3A-9F1D-8F5F2AEA38F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24.03.2024</t>
        </r>
      </text>
    </comment>
    <comment ref="F49" authorId="0" shapeId="0" xr:uid="{C4DF0464-074D-4E3A-BFA5-5823E85CC3E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26-03-2024</t>
        </r>
      </text>
    </comment>
    <comment ref="F50" authorId="0" shapeId="0" xr:uid="{B49967AF-BAF6-41E1-AC52-6AEBFC32ADB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01.05.2024</t>
        </r>
      </text>
    </comment>
    <comment ref="F51" authorId="0" shapeId="0" xr:uid="{C24C647B-70C9-40EB-9F95-DAB656E9517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15.05.2024</t>
        </r>
      </text>
    </comment>
    <comment ref="F54" authorId="0" shapeId="0" xr:uid="{C55C0B2B-B7BF-4349-8855-AC2B6A5BFE9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06-08-2024</t>
        </r>
      </text>
    </comment>
    <comment ref="F55" authorId="0" shapeId="0" xr:uid="{8D5852CD-11FE-43DB-8D45-BAF1BD6B8AA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11th August</t>
        </r>
      </text>
    </comment>
    <comment ref="E56" authorId="0" shapeId="0" xr:uid="{1B17F3F7-C8EB-48C5-8E8E-3AD714322ED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Joiining date 21 august</t>
        </r>
      </text>
    </comment>
    <comment ref="E63" authorId="1" shapeId="0" xr:uid="{9C52BA19-4E66-4A90-AB73-004A56E08C1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اجازة امومة</t>
        </r>
      </text>
    </comment>
    <comment ref="F63" authorId="1" shapeId="0" xr:uid="{9C6C00D6-C3D8-4A62-B806-7FDB3FDA00C7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18-Sep-24
1562</t>
        </r>
      </text>
    </comment>
    <comment ref="F64" authorId="1" shapeId="0" xr:uid="{533BBFC2-139C-4131-8E89-F5897AA99DA3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29-Sep-24</t>
        </r>
      </text>
    </comment>
    <comment ref="F65" authorId="1" shapeId="0" xr:uid="{2EF8214B-1BC7-4C20-BBD1-2CECAC9C558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66" authorId="1" shapeId="0" xr:uid="{E61B0E0E-7BFC-4FD9-B7ED-BF16EEDFAE3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67" authorId="1" shapeId="0" xr:uid="{54516476-C6F5-4EC7-9B17-8FDAC2A5A69A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2nd - Oct - 24</t>
        </r>
      </text>
    </comment>
    <comment ref="F68" authorId="1" shapeId="0" xr:uid="{A042E993-0766-4D9F-96C0-58ACE928823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9" authorId="1" shapeId="0" xr:uid="{6DC39E3B-4CDD-4961-8F5C-690B5F7CDD1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70" authorId="1" shapeId="0" xr:uid="{338748DD-DEAA-40B1-96C0-E5283283B7B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13th-Oct-24</t>
        </r>
      </text>
    </comment>
    <comment ref="F71" authorId="1" shapeId="0" xr:uid="{BF265A3D-45EB-4703-8BBE-6F2746F5F40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13th-Oct-24</t>
        </r>
      </text>
    </comment>
    <comment ref="F72" authorId="1" shapeId="0" xr:uid="{C3CF05E0-9BE5-44B4-8195-CC653E541E8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73" authorId="1" shapeId="0" xr:uid="{A3CB62B5-9E95-44FA-A61E-F22DF63D6E5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74" authorId="1" shapeId="0" xr:uid="{045C2FA9-9280-4B38-9E23-C0193EDD50E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
</t>
        </r>
      </text>
    </comment>
    <comment ref="F75" authorId="1" shapeId="0" xr:uid="{D1BF1C6A-0D6C-4945-9F49-BF79C3CA2AF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6" authorId="1" shapeId="0" xr:uid="{2A732B62-D9CC-43E7-A458-96A73D8B884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7" authorId="1" shapeId="0" xr:uid="{310F7582-333C-40AD-B082-97D92D36AABE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8" authorId="1" shapeId="0" xr:uid="{433D601B-D0A9-4697-8BC6-C047DD4AA1B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9" authorId="1" shapeId="0" xr:uid="{DA060A2F-2A70-4E45-AF4F-9812EAD5935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24-11-2024</t>
        </r>
      </text>
    </comment>
    <comment ref="F80" authorId="1" shapeId="0" xr:uid="{FEBD117B-BA68-4631-9449-9877B9D67133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26-11-2024</t>
        </r>
      </text>
    </comment>
    <comment ref="F81" authorId="1" shapeId="0" xr:uid="{20FDCEF8-1202-4742-B091-8D392F975BB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3" authorId="1" shapeId="0" xr:uid="{278C6BBA-AFFD-4F91-AA84-BCF786F24C67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4" authorId="1" shapeId="0" xr:uid="{4E836714-96B8-4FB9-9414-F6B29CEFCF64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5" authorId="1" shapeId="0" xr:uid="{E3B5FEFE-C9E7-4330-B509-37A88E9890FE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6" authorId="1" shapeId="0" xr:uid="{BB53F83F-41D8-41FB-B275-87734997C30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7" authorId="1" shapeId="0" xr:uid="{9AFBF625-A121-45F8-B0C5-A2D6BC19D437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8" authorId="1" shapeId="0" xr:uid="{A74752A3-9F92-493C-A2F4-96F96D00BB57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9" authorId="1" shapeId="0" xr:uid="{61BDCD28-D3AE-466B-A8B9-87121443A42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22-12-2024</t>
        </r>
      </text>
    </comment>
    <comment ref="F90" authorId="1" shapeId="0" xr:uid="{3164F1A9-EFFE-4335-8C8C-87234D7CF0C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91" authorId="1" shapeId="0" xr:uid="{F456E1A7-EAF3-42F1-B607-56E97104D7E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92" authorId="1" shapeId="0" xr:uid="{1268CDF2-35ED-486D-A030-AD133C79C2D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99" authorId="1" shapeId="0" xr:uid="{40E17693-CDC7-403E-A2D6-2F113B92CFC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dare 2nd march 2025</t>
        </r>
      </text>
    </comment>
    <comment ref="F100" authorId="1" shapeId="0" xr:uid="{1D92D559-8CAE-4AC9-B771-97D2B34DD0E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09-03-2025</t>
        </r>
      </text>
    </comment>
    <comment ref="F101" authorId="1" shapeId="0" xr:uid="{28570859-0FFF-4B5D-8F86-88027F05332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16-03-2025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Ahmad Abu Eid | Ejada Systems</author>
  </authors>
  <commentList>
    <comment ref="F45" authorId="0" shapeId="0" xr:uid="{B5323FBE-C5D0-4C8C-8381-B65057017C6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21st January</t>
        </r>
      </text>
    </comment>
    <comment ref="F46" authorId="0" shapeId="0" xr:uid="{A9925F31-6E20-4AC2-8293-58D9E60A425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01-02-2024</t>
        </r>
      </text>
    </comment>
    <comment ref="F47" authorId="0" shapeId="0" xr:uid="{19C6F581-6CAF-4470-A4DF-223298AA161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14-02-2024</t>
        </r>
      </text>
    </comment>
    <comment ref="F48" authorId="0" shapeId="0" xr:uid="{EE899FB9-8976-4785-854B-E7D4BA303E7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24.03.2024</t>
        </r>
      </text>
    </comment>
    <comment ref="F49" authorId="0" shapeId="0" xr:uid="{F84C7FA1-3152-47B2-BB55-87B19B620DC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26-03-2024</t>
        </r>
      </text>
    </comment>
    <comment ref="F50" authorId="0" shapeId="0" xr:uid="{ED16AF64-E490-4202-A0E5-92203352F87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01.05.2024</t>
        </r>
      </text>
    </comment>
    <comment ref="F51" authorId="0" shapeId="0" xr:uid="{5CF7DD95-F512-4E20-97C3-5B24EED264F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15.05.2024</t>
        </r>
      </text>
    </comment>
    <comment ref="F54" authorId="0" shapeId="0" xr:uid="{E0EC8B1C-920E-46E6-96CE-FCE8674F267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06-08-2024</t>
        </r>
      </text>
    </comment>
    <comment ref="F55" authorId="0" shapeId="0" xr:uid="{641BA4DB-4C16-450B-8618-7754EA27A5F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Joining date 11th August</t>
        </r>
      </text>
    </comment>
    <comment ref="E56" authorId="0" shapeId="0" xr:uid="{6C4F17B9-A3BE-4427-A403-44F9FD55087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Joiining date 21 august</t>
        </r>
      </text>
    </comment>
    <comment ref="E63" authorId="1" shapeId="0" xr:uid="{2CE870FD-3BCA-4CA3-8331-1D76CFCD111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اجازة امومة</t>
        </r>
      </text>
    </comment>
    <comment ref="F63" authorId="1" shapeId="0" xr:uid="{3B087B17-B091-4B3F-8F69-5E5907DCF76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18-Sep-24
1562</t>
        </r>
      </text>
    </comment>
    <comment ref="F64" authorId="1" shapeId="0" xr:uid="{89CE0C2E-97EE-4B60-941C-6CD429FAFBB5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29-Sep-24</t>
        </r>
      </text>
    </comment>
    <comment ref="F65" authorId="1" shapeId="0" xr:uid="{3C8B571E-88B8-4E47-A43A-D18939D4E91E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66" authorId="1" shapeId="0" xr:uid="{D031AEC3-C890-4406-B73D-53BAC0CD064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1-Oct-24</t>
        </r>
      </text>
    </comment>
    <comment ref="F67" authorId="1" shapeId="0" xr:uid="{209A6FB0-E143-4DB8-A216-341B98516AC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2nd - Oct - 24</t>
        </r>
      </text>
    </comment>
    <comment ref="F68" authorId="1" shapeId="0" xr:uid="{8AEDCEB5-77C9-4413-98E9-E111D3FCAB8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69" authorId="1" shapeId="0" xr:uid="{97AAC38F-02DA-437E-841C-94D20F5B27F2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6th-Oct-24</t>
        </r>
      </text>
    </comment>
    <comment ref="F70" authorId="1" shapeId="0" xr:uid="{4D3AEDE2-87D0-4E09-BBEB-EF299971E44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13th-Oct-24</t>
        </r>
      </text>
    </comment>
    <comment ref="F71" authorId="1" shapeId="0" xr:uid="{0609C716-DE25-46FA-84E6-E7D45C2B230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13th-Oct-24</t>
        </r>
      </text>
    </comment>
    <comment ref="F72" authorId="1" shapeId="0" xr:uid="{C413E095-AC9C-422E-B365-FB813D96387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13th-Oct-24</t>
        </r>
      </text>
    </comment>
    <comment ref="F73" authorId="1" shapeId="0" xr:uid="{BDBE6D3C-F2DA-4D17-928A-D92307B2B05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74" authorId="1" shapeId="0" xr:uid="{A82E0B4E-D87C-4B1A-8D94-80A21317CB23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</t>
        </r>
      </text>
    </comment>
    <comment ref="F75" authorId="1" shapeId="0" xr:uid="{1348DE79-2A30-4652-8AF2-BF79BFF7F89B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27-10-2024
</t>
        </r>
      </text>
    </comment>
    <comment ref="F76" authorId="1" shapeId="0" xr:uid="{7B32ADC7-0856-4208-8EAC-2D97ABF6CAB7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7" authorId="1" shapeId="0" xr:uid="{C385E24B-142D-4D81-A45B-3DC2302F990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8" authorId="1" shapeId="0" xr:uid="{4BAD63E7-A2E6-4A37-90A1-1D377D8C667D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79" authorId="1" shapeId="0" xr:uid="{F8C53C5E-FACE-4B82-BA89-0CCFC0D5573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03-11-2024</t>
        </r>
      </text>
    </comment>
    <comment ref="F80" authorId="1" shapeId="0" xr:uid="{4A7CF163-C00D-443E-809B-10237D433D8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24-11-2024</t>
        </r>
      </text>
    </comment>
    <comment ref="F81" authorId="1" shapeId="0" xr:uid="{56070F37-6B18-471A-BFC1-6C30C6936BF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26-11-2024</t>
        </r>
      </text>
    </comment>
    <comment ref="F82" authorId="1" shapeId="0" xr:uid="{5CEAFB9D-33F6-4386-BE34-CA65A274258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4" authorId="1" shapeId="0" xr:uid="{7D2805BC-0F7C-4E3D-8E25-E6A8AF25682E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5" authorId="1" shapeId="0" xr:uid="{3F6E1273-5E17-4F34-AD91-03D9D5FF2AA0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6" authorId="1" shapeId="0" xr:uid="{A0B7B87B-4BFB-4D1D-AD58-D44FEC34BA08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7" authorId="1" shapeId="0" xr:uid="{1EE3E8B3-37B5-42C6-B82C-8B91A4BF689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8" authorId="1" shapeId="0" xr:uid="{CDAA0A0D-F116-4EA3-8C16-D7B7524895C6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89" authorId="1" shapeId="0" xr:uid="{4B3C717E-8600-4A04-9E1A-5FF4C847E159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01-12-2024</t>
        </r>
      </text>
    </comment>
    <comment ref="F90" authorId="1" shapeId="0" xr:uid="{7545407E-7EC0-4DC3-96CD-43F9BA8F8F7F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date 22-12-2024</t>
        </r>
      </text>
    </comment>
    <comment ref="F91" authorId="1" shapeId="0" xr:uid="{092F4816-0B65-460A-B109-CC475E9B342E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92" authorId="1" shapeId="0" xr:uid="{8413141B-E0D8-42D3-A597-1779F44183DE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93" authorId="1" shapeId="0" xr:uid="{BC9DE865-6D88-4973-A071-EEE2DC39EAB1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05-01-2025</t>
        </r>
      </text>
    </comment>
    <comment ref="F100" authorId="1" shapeId="0" xr:uid="{13C96FF2-89C1-4CF7-A402-76327AA58B4C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dare 2nd march 2025</t>
        </r>
      </text>
    </comment>
    <comment ref="F101" authorId="1" shapeId="0" xr:uid="{FCE5BF0D-80FD-4915-A9A0-7EA173A63B1A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09-03-2025</t>
        </r>
      </text>
    </comment>
    <comment ref="F102" authorId="1" shapeId="0" xr:uid="{DB5186F8-B7EB-46CB-B39B-B88AEDEFBB57}">
      <text>
        <r>
          <rPr>
            <b/>
            <sz val="9"/>
            <color indexed="81"/>
            <rFont val="Tahoma"/>
            <family val="2"/>
          </rPr>
          <t>Ahmad Abu Eid | Ejada Systems:</t>
        </r>
        <r>
          <rPr>
            <sz val="9"/>
            <color indexed="81"/>
            <rFont val="Tahoma"/>
            <family val="2"/>
          </rPr>
          <t xml:space="preserve">
Joining 16-03-2025</t>
        </r>
      </text>
    </comment>
  </commentList>
</comments>
</file>

<file path=xl/sharedStrings.xml><?xml version="1.0" encoding="utf-8"?>
<sst xmlns="http://schemas.openxmlformats.org/spreadsheetml/2006/main" count="8850" uniqueCount="532">
  <si>
    <t>Salary Slip for the month</t>
  </si>
  <si>
    <t>Location:</t>
  </si>
  <si>
    <t>Jordan</t>
  </si>
  <si>
    <t>Bank Name</t>
  </si>
  <si>
    <t>Employee Name:</t>
  </si>
  <si>
    <t>...............................</t>
  </si>
  <si>
    <t>IBAN Number</t>
  </si>
  <si>
    <t>Employee ID:</t>
  </si>
  <si>
    <t>.......................</t>
  </si>
  <si>
    <t>Job Title:</t>
  </si>
  <si>
    <t>................................</t>
  </si>
  <si>
    <t>Amount JOD</t>
  </si>
  <si>
    <t>Salary:</t>
  </si>
  <si>
    <t>Gross Salary</t>
  </si>
  <si>
    <t>Expenses &amp; Allowance:</t>
  </si>
  <si>
    <t>Company Expenses</t>
  </si>
  <si>
    <t>Overtime</t>
  </si>
  <si>
    <t>Travel Expenses</t>
  </si>
  <si>
    <t>Bonus</t>
  </si>
  <si>
    <t>Other</t>
  </si>
  <si>
    <t>Total Salary &amp; Expenses</t>
  </si>
  <si>
    <t>Salary Deductions:</t>
  </si>
  <si>
    <t>Social Security</t>
  </si>
  <si>
    <t>Income Tax</t>
  </si>
  <si>
    <t>Health</t>
  </si>
  <si>
    <t>Other Deductions</t>
  </si>
  <si>
    <t>Advance Payment</t>
  </si>
  <si>
    <t>Travel</t>
  </si>
  <si>
    <t xml:space="preserve">Other </t>
  </si>
  <si>
    <t>Total Deductions</t>
  </si>
  <si>
    <t>Net Salary</t>
  </si>
  <si>
    <t>Ejada Jordan July.25 salaries</t>
  </si>
  <si>
    <t>Emplyee Details</t>
  </si>
  <si>
    <t>Salary and Its Deductions and Additions</t>
  </si>
  <si>
    <t>Company Liability</t>
  </si>
  <si>
    <t>S.#</t>
  </si>
  <si>
    <t>Employee No.</t>
  </si>
  <si>
    <t>Name</t>
  </si>
  <si>
    <t>Title</t>
  </si>
  <si>
    <t>Gross Salary for this month</t>
  </si>
  <si>
    <t>Social Security - Employee</t>
  </si>
  <si>
    <t>Social Security - Company</t>
  </si>
  <si>
    <t>Other Expenses &amp; Allowances</t>
  </si>
  <si>
    <t>Net Salary Payable to Employee</t>
  </si>
  <si>
    <t>Total Company Liability</t>
  </si>
  <si>
    <t>Family</t>
  </si>
  <si>
    <t>EMP.NO.</t>
  </si>
  <si>
    <t>EMPLOYEE NAME</t>
  </si>
  <si>
    <t>UNIT</t>
  </si>
  <si>
    <t>Finance Code</t>
  </si>
  <si>
    <t>SECTOR</t>
  </si>
  <si>
    <t>R0080</t>
  </si>
  <si>
    <t>GHALIA GHEITH SUBHI AL HASAN</t>
  </si>
  <si>
    <t>REACT DEVELOPER</t>
  </si>
  <si>
    <t>No</t>
  </si>
  <si>
    <t>B-PA</t>
  </si>
  <si>
    <t>MOBILITY &amp; CUSTOMER EXPERIENCE</t>
  </si>
  <si>
    <t>R0083</t>
  </si>
  <si>
    <t>MOHAMMED TAHA AL TAMIMI</t>
  </si>
  <si>
    <t>B-EB</t>
  </si>
  <si>
    <t>R0085</t>
  </si>
  <si>
    <t>SAWASAN ADNAN MOHAMMAD ISTAITEA</t>
  </si>
  <si>
    <t>UX Manager</t>
  </si>
  <si>
    <t>R0086</t>
  </si>
  <si>
    <t>SAJA HUSSEIN ASAD HAJABI</t>
  </si>
  <si>
    <t>UX/UI DESIGNER</t>
  </si>
  <si>
    <t>R0088</t>
  </si>
  <si>
    <t>BASHAR AHMED IBRAHIM AYYASH</t>
  </si>
  <si>
    <t>DEVELOPMENT LEAD</t>
  </si>
  <si>
    <t>Yes</t>
  </si>
  <si>
    <t>R0090</t>
  </si>
  <si>
    <t>YARA MOAYAD SAMI BUSHNAQ</t>
  </si>
  <si>
    <t>R0091</t>
  </si>
  <si>
    <t>NABEEL NORI ALQUDA</t>
  </si>
  <si>
    <t>UX/UI LEAD</t>
  </si>
  <si>
    <t>R0106</t>
  </si>
  <si>
    <t>MOHAMMED YOUSEF MOHAMMED SULEIMAN</t>
  </si>
  <si>
    <t>SENIOR UX DESIGNER</t>
  </si>
  <si>
    <t>R0110</t>
  </si>
  <si>
    <t>ALI IBRAHIM ALI ALNOURI</t>
  </si>
  <si>
    <t>R0111</t>
  </si>
  <si>
    <t>ABDEL HADI ABDELMOTI NOFAL</t>
  </si>
  <si>
    <t>REACT NATIVE DEVELOPER</t>
  </si>
  <si>
    <t>R0112</t>
  </si>
  <si>
    <t>LANA MUSTAFA HASSAN MAHAMEED</t>
  </si>
  <si>
    <t>BUSINESS ANALYST</t>
  </si>
  <si>
    <t>R0113</t>
  </si>
  <si>
    <t>MAEN MOH'D MUSTAFA HALAWANI</t>
  </si>
  <si>
    <t>R0116</t>
  </si>
  <si>
    <t>AHMED MAHMOUD NEMER AMMOURA</t>
  </si>
  <si>
    <t>R0118</t>
  </si>
  <si>
    <t>SAJA JEHAD FAWZI DHAMSHEH</t>
  </si>
  <si>
    <t>R0119</t>
  </si>
  <si>
    <t>MOHANNAD AHMAD ISMAIEL AZZI</t>
  </si>
  <si>
    <t>TECHNICAL LEAD</t>
  </si>
  <si>
    <t>R0122</t>
  </si>
  <si>
    <t>ASEEL KHALED FAHMI ALNAJJAR</t>
  </si>
  <si>
    <t>UX UI DESIGNER</t>
  </si>
  <si>
    <t>R0123</t>
  </si>
  <si>
    <t>BADER SAMI SHAWKAT FAYIZ</t>
  </si>
  <si>
    <t>REMEDY DEVELOPER</t>
  </si>
  <si>
    <t>I-BS</t>
  </si>
  <si>
    <t>HYBRID CLOUD</t>
  </si>
  <si>
    <t>R0124</t>
  </si>
  <si>
    <t>YAZAN AHMAD IBRAHEM ALHUSAMIA</t>
  </si>
  <si>
    <t>R0125</t>
  </si>
  <si>
    <t>QAIS WALEED NAYEF ATA</t>
  </si>
  <si>
    <t>R0126</t>
  </si>
  <si>
    <t>AHMAD HUSSEIN MUSTAFA ABU EID</t>
  </si>
  <si>
    <t>Head of Finance, HR &amp; Admin</t>
  </si>
  <si>
    <t>FINANCE</t>
  </si>
  <si>
    <t>R0127</t>
  </si>
  <si>
    <t>ISMAIL IBRAHIM MOHAMMAD ABUSALAH</t>
  </si>
  <si>
    <t>R0128</t>
  </si>
  <si>
    <t>HUTHAIFA WALEED MOHAMMAD BANIHAMAD</t>
  </si>
  <si>
    <t>R0129</t>
  </si>
  <si>
    <t>TAHANI ABDELAZIZ SUBHI DAR MUSLEH</t>
  </si>
  <si>
    <t>R0130</t>
  </si>
  <si>
    <t>WALLA MOHAMMAD SULEIMAN AL NAIMAT</t>
  </si>
  <si>
    <t>R0132</t>
  </si>
  <si>
    <t>SARA MOH'D RAFIQ A AL SMADI</t>
  </si>
  <si>
    <t>R0135</t>
  </si>
  <si>
    <t>OMAR MANSOUR ABDELWAHAB AWAD</t>
  </si>
  <si>
    <t>SENIOR UI MOTION DESIGNER</t>
  </si>
  <si>
    <t>R0137</t>
  </si>
  <si>
    <t>TASNEEM BASHAR MOHAMMAD SABHA</t>
  </si>
  <si>
    <t>R0138</t>
  </si>
  <si>
    <t>HANA MOWAFAQ FAIQ AL FUKAHA</t>
  </si>
  <si>
    <t>FUNCTIONAL TESTER</t>
  </si>
  <si>
    <t>R0141</t>
  </si>
  <si>
    <t>Amal Mohammad Taleb Alhaj</t>
  </si>
  <si>
    <t>R0143</t>
  </si>
  <si>
    <t>FADI FARID MICHAEL HASHWEH</t>
  </si>
  <si>
    <t>SENIOR UXUI DESIGNER</t>
  </si>
  <si>
    <t>R0144</t>
  </si>
  <si>
    <t>NOOR JAMAL SALEH HAJIBI</t>
  </si>
  <si>
    <t>JAVA DEVELOPER</t>
  </si>
  <si>
    <t>I-EA</t>
  </si>
  <si>
    <t>ENTERPRISE APPLICATIONS &amp; EMERGING TECHNOLOGY</t>
  </si>
  <si>
    <t>R0145</t>
  </si>
  <si>
    <t>Monther Mohd.A.Fattah Hammdi Quttan</t>
  </si>
  <si>
    <t>R0146</t>
  </si>
  <si>
    <t>ANAS AHMAD AL-QUDAH</t>
  </si>
  <si>
    <t>SR. SITECORE DEVELOPER</t>
  </si>
  <si>
    <t>R0147</t>
  </si>
  <si>
    <t>SONDOS ABDULLAH ABDELQADER ABUBEED</t>
  </si>
  <si>
    <t>R0148</t>
  </si>
  <si>
    <t>AHMAD OSAMA MOHAMMAD ANIS ALZU'BI</t>
  </si>
  <si>
    <t>ITSM TECHNICAL CONSULTANT</t>
  </si>
  <si>
    <t>R0149</t>
  </si>
  <si>
    <t>AMER MOUSA YOUSEF AL-RIFAI</t>
  </si>
  <si>
    <t>R0150</t>
  </si>
  <si>
    <t>AHMAD OMAR KAMEL ALOMARI</t>
  </si>
  <si>
    <t>R0151</t>
  </si>
  <si>
    <t>Dunia Talal Hazim Kamal</t>
  </si>
  <si>
    <t>R0105</t>
  </si>
  <si>
    <t xml:space="preserve">SHATHA MOHAMMED ABED AL KHALAILAH </t>
  </si>
  <si>
    <t>Senior Quality Engineer</t>
  </si>
  <si>
    <t>R0152</t>
  </si>
  <si>
    <t>Ibraheem Khalil Ibrahim Shaheen</t>
  </si>
  <si>
    <t>Junior Sitecore Developer</t>
  </si>
  <si>
    <t>R0154</t>
  </si>
  <si>
    <t>Sharif Othman Mohammad Libad</t>
  </si>
  <si>
    <t>Office Boy</t>
  </si>
  <si>
    <t>ADMINISTRATION</t>
  </si>
  <si>
    <t>R0153</t>
  </si>
  <si>
    <t>Mohammad Ayman Mansour Alkhatib</t>
  </si>
  <si>
    <t>Sitecore Developer</t>
  </si>
  <si>
    <t>R0156</t>
  </si>
  <si>
    <t>Neameh AbdelGhani AlQetami</t>
  </si>
  <si>
    <t>Junior Quality Assurance</t>
  </si>
  <si>
    <t>R0158</t>
  </si>
  <si>
    <t>Ahmad Abdel Wahab AbdelRahman Shaltouny</t>
  </si>
  <si>
    <t>R0157</t>
  </si>
  <si>
    <t>Fatima Talaat Abdul Rahman Al Jaafreh</t>
  </si>
  <si>
    <t>Talent Aqcuision Head</t>
  </si>
  <si>
    <t>R0159</t>
  </si>
  <si>
    <t>HUMAN RESOURCES</t>
  </si>
  <si>
    <t>R0161</t>
  </si>
  <si>
    <t>Kareem Akram Jamal Al Kasarweh</t>
  </si>
  <si>
    <t>Intern Mobile Developer</t>
  </si>
  <si>
    <t>R0162</t>
  </si>
  <si>
    <t>Layth Nadir Sadi Ismail</t>
  </si>
  <si>
    <t xml:space="preserve">Senior Business Analyst </t>
  </si>
  <si>
    <t>R0163</t>
  </si>
  <si>
    <t>Abdel Rahman Kamal Shawkat AbuHejleh</t>
  </si>
  <si>
    <t>Web Developer – React Native</t>
  </si>
  <si>
    <t>R0164</t>
  </si>
  <si>
    <t>Haneen Mousa Fares Abu Saif</t>
  </si>
  <si>
    <t>Admin/ HR Assistant</t>
  </si>
  <si>
    <t>R0166</t>
  </si>
  <si>
    <t>Yasmin Ahmad Salman Al Mashagbah</t>
  </si>
  <si>
    <t>R0167</t>
  </si>
  <si>
    <t>Mohammad Hani Hikmat Sabouh</t>
  </si>
  <si>
    <t xml:space="preserve">Senior Business Analyst - Product Owner </t>
  </si>
  <si>
    <t>R0168</t>
  </si>
  <si>
    <t>Abdal Rahman Mohammed Odeh Ayyoub</t>
  </si>
  <si>
    <t>R0169</t>
  </si>
  <si>
    <t>Al Taher Mohammad Amin Taher Faqeeh</t>
  </si>
  <si>
    <t>Sitecore Developer / Med Level</t>
  </si>
  <si>
    <t>R0171</t>
  </si>
  <si>
    <t>Mohammed Baha Aldin Attia Attia</t>
  </si>
  <si>
    <t>R0173</t>
  </si>
  <si>
    <t>Afnan Khaldoon Mousa Mohammad</t>
  </si>
  <si>
    <t>Intern Web and mobile Developer</t>
  </si>
  <si>
    <t>R0174</t>
  </si>
  <si>
    <t xml:space="preserve">Nada Mohammad Hussien Khazaleh </t>
  </si>
  <si>
    <t xml:space="preserve"> Senior Web Developer -React Native</t>
  </si>
  <si>
    <t>R0176</t>
  </si>
  <si>
    <t>Ayman Mohammad Sami Murshed Gaith</t>
  </si>
  <si>
    <t>TECHNICAL Lead</t>
  </si>
  <si>
    <t>R0177</t>
  </si>
  <si>
    <t>Waseem Jamal Hasan  Alhumsi</t>
  </si>
  <si>
    <t>UI Motion Desinger</t>
  </si>
  <si>
    <t>R0178</t>
  </si>
  <si>
    <t>Hadeel  Mohammad Ali Al Qayam</t>
  </si>
  <si>
    <t xml:space="preserve">Senior Testing Engineer </t>
  </si>
  <si>
    <t>R0179</t>
  </si>
  <si>
    <t>Marah Maamon Mohammad Al Tamimi</t>
  </si>
  <si>
    <t xml:space="preserve">Mid Testing Engineer </t>
  </si>
  <si>
    <t>R0180</t>
  </si>
  <si>
    <t xml:space="preserve">Mohammad Issam Khalil Abu Baker </t>
  </si>
  <si>
    <t xml:space="preserve">Project Manager </t>
  </si>
  <si>
    <t>B-CD</t>
  </si>
  <si>
    <t>R0181</t>
  </si>
  <si>
    <t>Ismail Isam Ismail Hamzeh</t>
  </si>
  <si>
    <t>ASP.NET  Developer</t>
  </si>
  <si>
    <t>R0182</t>
  </si>
  <si>
    <t>Dana Basam Mohammad Diab</t>
  </si>
  <si>
    <t xml:space="preserve">Test Lead </t>
  </si>
  <si>
    <t>R0187</t>
  </si>
  <si>
    <t>Nada Nedal Ahmad Odeh</t>
  </si>
  <si>
    <t>Automation and Testing Engineer</t>
  </si>
  <si>
    <t>R0188</t>
  </si>
  <si>
    <t>Hisham Ziad Husni  Abulfeilat</t>
  </si>
  <si>
    <t>R0189</t>
  </si>
  <si>
    <t xml:space="preserve">Musaab Mohammad Subhi Ghazal </t>
  </si>
  <si>
    <t>R0190</t>
  </si>
  <si>
    <t>Husam Mahmoud Abedel Latef Al Ramahi</t>
  </si>
  <si>
    <t>BA Manager</t>
  </si>
  <si>
    <t>CUSTOMER EXPERIENCE</t>
  </si>
  <si>
    <t>R0191</t>
  </si>
  <si>
    <t>Saba Aasif Hasan Mansi</t>
  </si>
  <si>
    <t>Business Analyst</t>
  </si>
  <si>
    <t>R0192</t>
  </si>
  <si>
    <t>Ahmad Ibrahim Matar Abuaisheh</t>
  </si>
  <si>
    <t>R0193</t>
  </si>
  <si>
    <t xml:space="preserve">Mohammad Nihad Kamel Mustafa </t>
  </si>
  <si>
    <t>R0195</t>
  </si>
  <si>
    <t>Ibrahim Isam Ibrahim Salem</t>
  </si>
  <si>
    <t>Mid Testing Engineer</t>
  </si>
  <si>
    <t>R0196</t>
  </si>
  <si>
    <t>Mohammad Kamal Hussein Al Shwayyat</t>
  </si>
  <si>
    <t>Senior Java Developer</t>
  </si>
  <si>
    <t>Enterprise Applications &amp; Emerging Technologies</t>
  </si>
  <si>
    <t>R0197</t>
  </si>
  <si>
    <t>Ehab Abu Khalaf</t>
  </si>
  <si>
    <t>BA Lead</t>
  </si>
  <si>
    <t>R0198</t>
  </si>
  <si>
    <t>Amal  Maamon Jaber Al Bayaa</t>
  </si>
  <si>
    <t>Recruiter</t>
  </si>
  <si>
    <t>R0199</t>
  </si>
  <si>
    <t>Zaid Suleiman Abdel Rahman Raddad</t>
  </si>
  <si>
    <t>Senior – React Native / JS</t>
  </si>
  <si>
    <t>OFFSHORE SUPPORT &amp; DEMAND MANAGEMENT (INDIA &amp; JORDAN)</t>
  </si>
  <si>
    <t>R0200</t>
  </si>
  <si>
    <t>Abdelatif Mousa Abdel Latif Lafee</t>
  </si>
  <si>
    <t>R0201</t>
  </si>
  <si>
    <t>Rahmeh Mahmoud Ali Almeaadat</t>
  </si>
  <si>
    <t>Senior Front End Engineer</t>
  </si>
  <si>
    <t>R0202</t>
  </si>
  <si>
    <t>Aseel Kamal Hasan Arqoub</t>
  </si>
  <si>
    <t>R0203</t>
  </si>
  <si>
    <t>Farah Mohammad Ahmad Moustafa</t>
  </si>
  <si>
    <t>Testing Engineer</t>
  </si>
  <si>
    <t>TCOE &amp; DEMAND MANAGEMENT</t>
  </si>
  <si>
    <t>R0204</t>
  </si>
  <si>
    <t>Aya Ibrahim Jamel Khashan</t>
  </si>
  <si>
    <t>Jr. Testing Engineer</t>
  </si>
  <si>
    <t>R0205</t>
  </si>
  <si>
    <t>Doha Nasser Abdel-Wahab Qawouq</t>
  </si>
  <si>
    <t>Doha Nasser Abdel Wahab Qawouq</t>
  </si>
  <si>
    <t>R0206</t>
  </si>
  <si>
    <t>Mohammad Khaled Mohammad Awwad</t>
  </si>
  <si>
    <t>Mid ASP.Net</t>
  </si>
  <si>
    <t>R0207</t>
  </si>
  <si>
    <t>Emad Aldeen Mohammad Ahmad Atieh</t>
  </si>
  <si>
    <t>Jr.  ASP.Net</t>
  </si>
  <si>
    <t>R0208</t>
  </si>
  <si>
    <t>Izzeldeen Jamal Ahmad Dibas</t>
  </si>
  <si>
    <t>R0209</t>
  </si>
  <si>
    <t>Rama Abdullah Abed Al Qader Al Hijazi</t>
  </si>
  <si>
    <t>R0210</t>
  </si>
  <si>
    <t>Sema Ahmad Shati Hamdan</t>
  </si>
  <si>
    <t>R0211</t>
  </si>
  <si>
    <t>Omnieh Adel Masoud Dawas</t>
  </si>
  <si>
    <t>Project Manager -Mid Level</t>
  </si>
  <si>
    <t>R0212</t>
  </si>
  <si>
    <t>Imran Soboh Mohammad Sababheh</t>
  </si>
  <si>
    <t>Tech Delivery Lead</t>
  </si>
  <si>
    <t>R0214</t>
  </si>
  <si>
    <t>Saba Abdel  Karim Mahmoud Al Shboul</t>
  </si>
  <si>
    <t>Senior QA</t>
  </si>
  <si>
    <t>R0215</t>
  </si>
  <si>
    <t>Lama Yahia Mohamad Al Zweiry</t>
  </si>
  <si>
    <t>R0216</t>
  </si>
  <si>
    <t>Haneen Yousef Fadeel Tanashat</t>
  </si>
  <si>
    <t>CRM Developer</t>
  </si>
  <si>
    <t>R0217</t>
  </si>
  <si>
    <t>Zeina Sameer Kamal  Al Khatib</t>
  </si>
  <si>
    <t>Project Manager - QA</t>
  </si>
  <si>
    <t>R0218</t>
  </si>
  <si>
    <t>Mai Abdallah Mohammad Al Rifaei</t>
  </si>
  <si>
    <t>Presales Consultant</t>
  </si>
  <si>
    <t>R0219</t>
  </si>
  <si>
    <t>Rubi Loay Ahmad Kalha</t>
  </si>
  <si>
    <t>Internship AI Engineer</t>
  </si>
  <si>
    <t>AI DELIVERY [EMERGING TECHNOLOGIES AND AI]</t>
  </si>
  <si>
    <t>R0220</t>
  </si>
  <si>
    <t>Wael Hasan Quader</t>
  </si>
  <si>
    <t>General Manager</t>
  </si>
  <si>
    <t>R0221</t>
  </si>
  <si>
    <t>Razan Faisal Asad Hamzeh</t>
  </si>
  <si>
    <t>Integration ADC Senior Team Leader</t>
  </si>
  <si>
    <t>Enterprise Applications and Emerging Technology</t>
  </si>
  <si>
    <t>R0222</t>
  </si>
  <si>
    <t>Haneen Nahlan Hussein AlTaweel Alkhatab</t>
  </si>
  <si>
    <t>Senior BA</t>
  </si>
  <si>
    <t>R0223</t>
  </si>
  <si>
    <t>Mohammad Tawabini</t>
  </si>
  <si>
    <t>Strategic Programs</t>
  </si>
  <si>
    <t>R0224</t>
  </si>
  <si>
    <t>Mohammad Abu Hasish</t>
  </si>
  <si>
    <t>Junior ASP. Net Developer</t>
  </si>
  <si>
    <t>Mohmmad Abu Hasish</t>
  </si>
  <si>
    <t>R0225</t>
  </si>
  <si>
    <t>Marah Waleed Irsan  Abu Obaid</t>
  </si>
  <si>
    <t>Senior HR Operation</t>
  </si>
  <si>
    <t>Marah Abu Obaid</t>
  </si>
  <si>
    <t>11C11</t>
  </si>
  <si>
    <t>R0226</t>
  </si>
  <si>
    <t>Mohammad AbdelHakim Ayesh Abu Awwad</t>
  </si>
  <si>
    <t>Mohammad Abdel Hakim</t>
  </si>
  <si>
    <t>R0227</t>
  </si>
  <si>
    <t>Sattam Mahmoud Ali AlShoubaki</t>
  </si>
  <si>
    <t>yes</t>
  </si>
  <si>
    <t>Sattam Al Shobaki</t>
  </si>
  <si>
    <t>R0228</t>
  </si>
  <si>
    <t>Tamer Sabry Ibraheam Al Wissy</t>
  </si>
  <si>
    <t>Tamer Al Wissy</t>
  </si>
  <si>
    <t>R0229</t>
  </si>
  <si>
    <t>Zuhier Nidal Mashour Othman</t>
  </si>
  <si>
    <t>Cybersecurity GRC Analyst</t>
  </si>
  <si>
    <t>no</t>
  </si>
  <si>
    <t>1B4211</t>
  </si>
  <si>
    <t>CORPORATE CYBERSECURITY</t>
  </si>
  <si>
    <t>R0230</t>
  </si>
  <si>
    <t>Rana Moh’d Ali Al Braik</t>
  </si>
  <si>
    <t>32D211</t>
  </si>
  <si>
    <t>R0231</t>
  </si>
  <si>
    <t>Naji Hussein Naji AlAaraj</t>
  </si>
  <si>
    <t>R0232</t>
  </si>
  <si>
    <t>Malak Omar Hasan Abdelhadi Jafari</t>
  </si>
  <si>
    <t>Technical Recruiter-Mid Level</t>
  </si>
  <si>
    <t>R0233</t>
  </si>
  <si>
    <t>Reham Akef Ali Obeidat</t>
  </si>
  <si>
    <t xml:space="preserve">Senior Talent Acquisition </t>
  </si>
  <si>
    <t>R0234</t>
  </si>
  <si>
    <t>Batool Omar Hussein AlOmari</t>
  </si>
  <si>
    <t>R0235</t>
  </si>
  <si>
    <t>Osama Walid Mohammad Hasan</t>
  </si>
  <si>
    <t>Senior IOS Developer</t>
  </si>
  <si>
    <t>R0236</t>
  </si>
  <si>
    <t>Anas Omar Muhammad AlSubeihi</t>
  </si>
  <si>
    <t>Senior Accountant</t>
  </si>
  <si>
    <t>R0237</t>
  </si>
  <si>
    <t>Abdul Kareem Saleh Mohammad AbuGheim</t>
  </si>
  <si>
    <t>Senior Automation Engineer</t>
  </si>
  <si>
    <t>R0238</t>
  </si>
  <si>
    <t>Hamzeh Walid Adib Alayan</t>
  </si>
  <si>
    <t>Junior Front End Developer</t>
  </si>
  <si>
    <t>R0239</t>
  </si>
  <si>
    <t>Abdallah Ishaq Radi Massri</t>
  </si>
  <si>
    <t>Intern Web &amp; Mobile Developer</t>
  </si>
  <si>
    <t>R0240</t>
  </si>
  <si>
    <t>Asma Iyad Ahmad Maqtoush</t>
  </si>
  <si>
    <t>Junior Accountant</t>
  </si>
  <si>
    <t>R0241</t>
  </si>
  <si>
    <t>Feras Imad Abdelhafez AlJoulani</t>
  </si>
  <si>
    <t>Intern Web Developer</t>
  </si>
  <si>
    <t>R0242</t>
  </si>
  <si>
    <t>Eyas Ra'ed Mah'd AbdelHadi</t>
  </si>
  <si>
    <t>Technical Support Engineer</t>
  </si>
  <si>
    <t xml:space="preserve">Entry </t>
  </si>
  <si>
    <t>Salary - project</t>
  </si>
  <si>
    <t>amortization</t>
  </si>
  <si>
    <t>gosi - Project</t>
  </si>
  <si>
    <t>Jan</t>
  </si>
  <si>
    <t>feb</t>
  </si>
  <si>
    <t>Salary - admin</t>
  </si>
  <si>
    <t>FFNN</t>
  </si>
  <si>
    <t xml:space="preserve">نقلهم على </t>
  </si>
  <si>
    <t>Basic salary</t>
  </si>
  <si>
    <t>gosi - Admin</t>
  </si>
  <si>
    <t>Transportation</t>
  </si>
  <si>
    <t xml:space="preserve">Petty cash funding </t>
  </si>
  <si>
    <t>Employee accrual</t>
  </si>
  <si>
    <t>training</t>
  </si>
  <si>
    <t>bank</t>
  </si>
  <si>
    <t>Rajihi - Jod</t>
  </si>
  <si>
    <t>gosi</t>
  </si>
  <si>
    <t>income tax</t>
  </si>
  <si>
    <t>Employees Accruals - Salaries</t>
  </si>
  <si>
    <t>Employees Accruals - GOSI</t>
  </si>
  <si>
    <t>Salary Tax</t>
  </si>
  <si>
    <t>Ejada Jordan August.25 salaries</t>
  </si>
  <si>
    <t>UI/UX Designer</t>
  </si>
  <si>
    <t>PMO – Testing Services</t>
  </si>
  <si>
    <t>UI/UX Intern</t>
  </si>
  <si>
    <t>R0243</t>
  </si>
  <si>
    <t>Waleed Khalid Afif Yousef</t>
  </si>
  <si>
    <t>R0244</t>
  </si>
  <si>
    <t>Mohanad Mohammad Ali AlHasasneh</t>
  </si>
  <si>
    <t>Sitecore Team Lead</t>
  </si>
  <si>
    <t>R0245</t>
  </si>
  <si>
    <t>Osama Haitham Hussein AlKotop</t>
  </si>
  <si>
    <t>Senior ASP. Net Engineer</t>
  </si>
  <si>
    <t>R0246</t>
  </si>
  <si>
    <t>Raja' Ahmad Fadeel AlBadarneh</t>
  </si>
  <si>
    <t>React Native/JS Developer</t>
  </si>
  <si>
    <t>R0247</t>
  </si>
  <si>
    <t>Sara Adnan Jamil Mousa</t>
  </si>
  <si>
    <t>Technical Recruiter</t>
  </si>
  <si>
    <t>R0248</t>
  </si>
  <si>
    <t>Mohammad Saeed Mohammad Shehade</t>
  </si>
  <si>
    <t>React JS and Native Engineer</t>
  </si>
  <si>
    <t>-</t>
  </si>
  <si>
    <t>R0249</t>
  </si>
  <si>
    <t>Rawzi Nael Mahmoud AlHomran</t>
  </si>
  <si>
    <t>Mid Automation Engineer</t>
  </si>
  <si>
    <t>Ejada Jordan April.25 salaries</t>
  </si>
  <si>
    <t>R0155</t>
  </si>
  <si>
    <t>Qais Ayman Yousef Abu Laban</t>
  </si>
  <si>
    <t>Intern Developer</t>
  </si>
  <si>
    <t>R0183</t>
  </si>
  <si>
    <t>Ahlam Mahmoud Mustafa Sulaiman</t>
  </si>
  <si>
    <t xml:space="preserve">Mid Testing Engineer </t>
  </si>
  <si>
    <t>R0213</t>
  </si>
  <si>
    <t>Osama Mohammad Abed Alqader Abu Shtaya</t>
  </si>
  <si>
    <t>Senior Accountant.</t>
  </si>
  <si>
    <t>R0108</t>
  </si>
  <si>
    <t>DANIA MOHAMMAD ZOHDI SAADAH</t>
  </si>
  <si>
    <t>R0172</t>
  </si>
  <si>
    <t>Mohammad IsmaiL Mohammad Daoud</t>
  </si>
  <si>
    <t>Senior Channel Developer</t>
  </si>
  <si>
    <t>Ejada Jordan Feb.25 salaries</t>
  </si>
  <si>
    <t>R0185</t>
  </si>
  <si>
    <t>Ebtihal Amjad Nael Hammad</t>
  </si>
  <si>
    <t> Testing Engineer </t>
  </si>
  <si>
    <t>Vacation</t>
  </si>
  <si>
    <t>Ejada Jordan Sep.25 salaries</t>
  </si>
  <si>
    <t>Ehab Rafe' Khalid Khalaf</t>
  </si>
  <si>
    <t>11E111</t>
  </si>
  <si>
    <t>SHARED SERVICE</t>
  </si>
  <si>
    <t>R0250</t>
  </si>
  <si>
    <t>Laith Amin Shehshadeh Mohammad</t>
  </si>
  <si>
    <t>Mid-Level Automation Engineer</t>
  </si>
  <si>
    <t>R0251</t>
  </si>
  <si>
    <t>Mahmoud Hussein Mohammad Yasin</t>
  </si>
  <si>
    <t>Acting ASP.Net Team Leader</t>
  </si>
  <si>
    <t>R0252</t>
  </si>
  <si>
    <t>Randa Ibrahim Abed Al -Razzaq Al-Daradkh</t>
  </si>
  <si>
    <t>R0253</t>
  </si>
  <si>
    <t>Mohammad Mahmoud Ahmad AlKhalaileh</t>
  </si>
  <si>
    <t>Intern ASP. Net Developer</t>
  </si>
  <si>
    <t>R0254</t>
  </si>
  <si>
    <t>Diyaa' Ismail Ahmad Ohip</t>
  </si>
  <si>
    <t>R0255</t>
  </si>
  <si>
    <t>Mohammad Iyad Mousa Mustafa</t>
  </si>
  <si>
    <t>R0256</t>
  </si>
  <si>
    <t>Abeer Saleh Suleiman AlNajdawi</t>
  </si>
  <si>
    <t>ASP .Net Team Leadr</t>
  </si>
  <si>
    <t>R0257</t>
  </si>
  <si>
    <t>Issam Khaled Issam Kawar</t>
  </si>
  <si>
    <t>Project Coordinator</t>
  </si>
  <si>
    <t>R0258</t>
  </si>
  <si>
    <t>Marah Ahmad Khalil Ismail</t>
  </si>
  <si>
    <t>Testing Functional Engineer</t>
  </si>
  <si>
    <t>R0259</t>
  </si>
  <si>
    <t>Abedalaziz Mohammad Abedalaziz Abed AlHaq</t>
  </si>
  <si>
    <t>Senior Sitecore/Sitefinity Engineer</t>
  </si>
  <si>
    <t>R0260</t>
  </si>
  <si>
    <t>Osama Noman Mahmoud Abu Nofal</t>
  </si>
  <si>
    <t>R0261</t>
  </si>
  <si>
    <t>Sajeda Mohammad Mahmoud AlZu'bi</t>
  </si>
  <si>
    <t>R0262</t>
  </si>
  <si>
    <t>Malek Jamal Abdel-Raouf Abu-Murad</t>
  </si>
  <si>
    <t>Mid Java Developer</t>
  </si>
  <si>
    <t>R0263</t>
  </si>
  <si>
    <t>Mones Faroun Falah Khaleel</t>
  </si>
  <si>
    <t>Intern Front End Developer</t>
  </si>
  <si>
    <t>R0264</t>
  </si>
  <si>
    <t xml:space="preserve">Mohammad Talal Mohammad Kanaan </t>
  </si>
  <si>
    <t>Emp Sig.</t>
  </si>
  <si>
    <t>Ejada Jordan Oct.25 salaries</t>
  </si>
  <si>
    <t>Junior Planning &amp; Control Analyst</t>
  </si>
  <si>
    <t xml:space="preserve"> AI Engineer</t>
  </si>
  <si>
    <t>Junior Web &amp; Mobile Developer</t>
  </si>
  <si>
    <t>Junio Web Developer</t>
  </si>
  <si>
    <t>R0265</t>
  </si>
  <si>
    <t>Yacoub Fayez Yacoub Abdallah</t>
  </si>
  <si>
    <t>Senior Testing Engineer</t>
  </si>
  <si>
    <t>R0266</t>
  </si>
  <si>
    <t>Maha Naser Mohammad Abu Naser</t>
  </si>
  <si>
    <t>R0267</t>
  </si>
  <si>
    <t>Lama Mohammad Radwan Radwan</t>
  </si>
  <si>
    <t>Senior Functional Engineer</t>
  </si>
  <si>
    <t>Ejada Jordan Nov.25 salaries</t>
  </si>
  <si>
    <t>Junior Web and mobile Developer</t>
  </si>
  <si>
    <t>11C111</t>
  </si>
  <si>
    <t>R0268</t>
  </si>
  <si>
    <t>Mohammad Sa'ed Abedalqader Al Khatab</t>
  </si>
  <si>
    <t>Oracle Developer</t>
  </si>
  <si>
    <t>DATA AND ANALYTICS</t>
  </si>
  <si>
    <t>R0269</t>
  </si>
  <si>
    <t>Rashed Ahmad Radi AlBatayneh</t>
  </si>
  <si>
    <t>Java Developer</t>
  </si>
  <si>
    <t>R0270</t>
  </si>
  <si>
    <t>Ibrahim Taha Said Yousef AlJarar'ah</t>
  </si>
  <si>
    <t>R0271</t>
  </si>
  <si>
    <t>Yousef Fayez Yousef Areiqat</t>
  </si>
  <si>
    <t>Functional Testing Engineer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</si>
</sst>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([$JOD]\ * #,##0.00_);_([$JOD]\ * \(#,##0.00\);_([$JOD]\ * &quot;-&quot;??_);_(@_)"/>
    <numFmt numFmtId="165" formatCode="#,##0.00;[Red]#,##0.00"/>
    <numFmt numFmtId="166" formatCode="_(* #,##0.000_);_(* \(#,##0.000\);_(* &quot;-&quot;??_);_(@_)"/>
    <numFmt numFmtId="167" formatCode="[$-409]d\-mmm\-yy;@"/>
    <numFmt numFmtId="168" formatCode="[$JOD]\ #,##0.00"/>
    <numFmt numFmtId="169" formatCode="[$JOD]\ #,##0.000"/>
    <numFmt numFmtId="170" formatCode="0.0"/>
    <numFmt numFmtId="171" formatCode="#,##0.000"/>
    <numFmt numFmtId="172" formatCode="_-* #,##0.00_-;\-* #,##0.00_-;_-* &quot;-&quot;??_-;_-@_-"/>
  </numFmts>
  <fonts count="18" x14ac:knownFonts="1"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u/>
      <sz val="16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sz val="14"/>
      <color theme="0"/>
      <name val="Arial"/>
      <family val="2"/>
      <scheme val="minor"/>
    </font>
    <font>
      <sz val="11"/>
      <color rgb="FF000000"/>
      <name val="Arial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Arial"/>
      <family val="2"/>
    </font>
    <font>
      <sz val="1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33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17" fillId="0" borderId="0"/>
    <xf numFmtId="172" fontId="9" fillId="0" borderId="0" applyFont="0" applyFill="0" applyBorder="0" applyAlignment="0" applyProtection="0"/>
    <xf numFmtId="0" fontId="17" fillId="0" borderId="0"/>
    <xf numFmtId="0" fontId="17" fillId="0" borderId="0"/>
    <xf numFmtId="0" fontId="9" fillId="0" borderId="0"/>
  </cellStyleXfs>
  <cellXfs count="205">
    <xf numFmtId="0" fontId="0" fillId="0" borderId="0" xfId="0"/>
    <xf numFmtId="17" fontId="5" fillId="0" borderId="0" xfId="0" applyNumberFormat="1" applyFont="1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vertical="center"/>
    </xf>
    <xf numFmtId="0" fontId="1" fillId="2" borderId="1" xfId="0" applyFont="1" applyFill="1" applyBorder="1"/>
    <xf numFmtId="0" fontId="4" fillId="2" borderId="2" xfId="0" applyFont="1" applyFill="1" applyBorder="1"/>
    <xf numFmtId="0" fontId="3" fillId="3" borderId="4" xfId="0" applyFont="1" applyFill="1" applyBorder="1"/>
    <xf numFmtId="0" fontId="0" fillId="3" borderId="0" xfId="0" applyFill="1"/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3" fillId="3" borderId="5" xfId="0" applyFont="1" applyFill="1" applyBorder="1"/>
    <xf numFmtId="4" fontId="0" fillId="3" borderId="7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4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5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6" fillId="3" borderId="1" xfId="0" applyFont="1" applyFill="1" applyBorder="1"/>
    <xf numFmtId="0" fontId="0" fillId="3" borderId="2" xfId="0" applyFill="1" applyBorder="1"/>
    <xf numFmtId="0" fontId="3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11" xfId="0" applyFill="1" applyBorder="1"/>
    <xf numFmtId="0" fontId="8" fillId="0" borderId="1" xfId="0" applyFont="1" applyBorder="1"/>
    <xf numFmtId="0" fontId="0" fillId="0" borderId="2" xfId="0" applyBorder="1"/>
    <xf numFmtId="0" fontId="0" fillId="0" borderId="0" xfId="0" applyAlignment="1">
      <alignment horizontal="center"/>
    </xf>
    <xf numFmtId="0" fontId="11" fillId="2" borderId="22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5" fontId="3" fillId="5" borderId="27" xfId="0" applyNumberFormat="1" applyFont="1" applyFill="1" applyBorder="1" applyAlignment="1">
      <alignment horizontal="center" vertical="center"/>
    </xf>
    <xf numFmtId="0" fontId="3" fillId="5" borderId="27" xfId="0" applyFont="1" applyFill="1" applyBorder="1" applyAlignment="1">
      <alignment vertical="center"/>
    </xf>
    <xf numFmtId="0" fontId="0" fillId="0" borderId="28" xfId="0" applyBorder="1" applyAlignment="1">
      <alignment horizontal="center"/>
    </xf>
    <xf numFmtId="0" fontId="0" fillId="0" borderId="29" xfId="0" applyBorder="1"/>
    <xf numFmtId="0" fontId="0" fillId="4" borderId="30" xfId="0" applyFill="1" applyBorder="1"/>
    <xf numFmtId="43" fontId="0" fillId="6" borderId="31" xfId="1" applyFont="1" applyFill="1" applyBorder="1"/>
    <xf numFmtId="43" fontId="0" fillId="6" borderId="29" xfId="1" applyFont="1" applyFill="1" applyBorder="1"/>
    <xf numFmtId="43" fontId="0" fillId="0" borderId="29" xfId="1" applyFont="1" applyBorder="1"/>
    <xf numFmtId="166" fontId="0" fillId="0" borderId="29" xfId="1" applyNumberFormat="1" applyFont="1" applyFill="1" applyBorder="1"/>
    <xf numFmtId="43" fontId="0" fillId="0" borderId="29" xfId="1" applyFont="1" applyFill="1" applyBorder="1"/>
    <xf numFmtId="43" fontId="0" fillId="0" borderId="32" xfId="1" applyFont="1" applyFill="1" applyBorder="1"/>
    <xf numFmtId="166" fontId="0" fillId="4" borderId="33" xfId="1" applyNumberFormat="1" applyFont="1" applyFill="1" applyBorder="1"/>
    <xf numFmtId="43" fontId="0" fillId="0" borderId="34" xfId="1" applyFont="1" applyBorder="1"/>
    <xf numFmtId="0" fontId="0" fillId="0" borderId="35" xfId="0" applyBorder="1"/>
    <xf numFmtId="0" fontId="0" fillId="7" borderId="36" xfId="0" applyFill="1" applyBorder="1"/>
    <xf numFmtId="0" fontId="0" fillId="7" borderId="35" xfId="0" applyFill="1" applyBorder="1" applyAlignment="1">
      <alignment horizontal="center"/>
    </xf>
    <xf numFmtId="0" fontId="0" fillId="4" borderId="37" xfId="0" applyFill="1" applyBorder="1"/>
    <xf numFmtId="0" fontId="0" fillId="0" borderId="38" xfId="0" applyBorder="1"/>
    <xf numFmtId="0" fontId="0" fillId="7" borderId="39" xfId="0" applyFill="1" applyBorder="1"/>
    <xf numFmtId="0" fontId="0" fillId="7" borderId="38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43" fontId="0" fillId="4" borderId="31" xfId="1" applyFont="1" applyFill="1" applyBorder="1"/>
    <xf numFmtId="0" fontId="0" fillId="0" borderId="29" xfId="0" applyBorder="1" applyAlignment="1">
      <alignment horizontal="center"/>
    </xf>
    <xf numFmtId="0" fontId="0" fillId="4" borderId="29" xfId="0" applyFill="1" applyBorder="1"/>
    <xf numFmtId="43" fontId="0" fillId="4" borderId="28" xfId="1" applyFont="1" applyFill="1" applyBorder="1"/>
    <xf numFmtId="43" fontId="0" fillId="6" borderId="28" xfId="1" applyFont="1" applyFill="1" applyBorder="1"/>
    <xf numFmtId="0" fontId="0" fillId="4" borderId="32" xfId="0" applyFill="1" applyBorder="1"/>
    <xf numFmtId="0" fontId="0" fillId="0" borderId="31" xfId="0" applyBorder="1" applyAlignment="1">
      <alignment horizontal="center"/>
    </xf>
    <xf numFmtId="167" fontId="0" fillId="0" borderId="38" xfId="0" applyNumberFormat="1" applyBorder="1"/>
    <xf numFmtId="0" fontId="0" fillId="0" borderId="42" xfId="0" applyBorder="1"/>
    <xf numFmtId="43" fontId="0" fillId="0" borderId="28" xfId="1" applyFont="1" applyBorder="1"/>
    <xf numFmtId="167" fontId="0" fillId="8" borderId="38" xfId="0" applyNumberFormat="1" applyFill="1" applyBorder="1"/>
    <xf numFmtId="167" fontId="0" fillId="8" borderId="42" xfId="0" applyNumberFormat="1" applyFill="1" applyBorder="1"/>
    <xf numFmtId="0" fontId="0" fillId="0" borderId="35" xfId="0" applyBorder="1" applyAlignment="1">
      <alignment horizontal="center"/>
    </xf>
    <xf numFmtId="167" fontId="0" fillId="0" borderId="42" xfId="0" applyNumberFormat="1" applyBorder="1"/>
    <xf numFmtId="43" fontId="0" fillId="0" borderId="28" xfId="1" applyFont="1" applyFill="1" applyBorder="1"/>
    <xf numFmtId="43" fontId="0" fillId="9" borderId="28" xfId="1" applyFont="1" applyFill="1" applyBorder="1"/>
    <xf numFmtId="43" fontId="0" fillId="9" borderId="29" xfId="1" applyFont="1" applyFill="1" applyBorder="1"/>
    <xf numFmtId="166" fontId="0" fillId="0" borderId="29" xfId="1" applyNumberFormat="1" applyFont="1" applyBorder="1"/>
    <xf numFmtId="166" fontId="0" fillId="0" borderId="32" xfId="1" applyNumberFormat="1" applyFont="1" applyFill="1" applyBorder="1"/>
    <xf numFmtId="0" fontId="0" fillId="10" borderId="42" xfId="0" applyFill="1" applyBorder="1" applyAlignment="1">
      <alignment horizontal="center"/>
    </xf>
    <xf numFmtId="0" fontId="0" fillId="7" borderId="0" xfId="0" applyFill="1"/>
    <xf numFmtId="0" fontId="0" fillId="7" borderId="43" xfId="0" applyFill="1" applyBorder="1" applyAlignment="1">
      <alignment horizontal="center"/>
    </xf>
    <xf numFmtId="0" fontId="0" fillId="0" borderId="44" xfId="0" applyBorder="1"/>
    <xf numFmtId="0" fontId="12" fillId="11" borderId="45" xfId="0" applyFont="1" applyFill="1" applyBorder="1"/>
    <xf numFmtId="0" fontId="13" fillId="4" borderId="46" xfId="0" applyFont="1" applyFill="1" applyBorder="1"/>
    <xf numFmtId="0" fontId="0" fillId="7" borderId="47" xfId="0" applyFill="1" applyBorder="1" applyAlignment="1">
      <alignment horizontal="center"/>
    </xf>
    <xf numFmtId="167" fontId="0" fillId="7" borderId="38" xfId="0" applyNumberFormat="1" applyFill="1" applyBorder="1"/>
    <xf numFmtId="0" fontId="0" fillId="4" borderId="42" xfId="0" applyFill="1" applyBorder="1"/>
    <xf numFmtId="167" fontId="0" fillId="7" borderId="44" xfId="0" applyNumberFormat="1" applyFill="1" applyBorder="1"/>
    <xf numFmtId="0" fontId="9" fillId="0" borderId="38" xfId="2" applyBorder="1"/>
    <xf numFmtId="0" fontId="0" fillId="0" borderId="43" xfId="0" applyBorder="1" applyAlignment="1">
      <alignment horizontal="center"/>
    </xf>
    <xf numFmtId="11" fontId="0" fillId="7" borderId="43" xfId="0" applyNumberFormat="1" applyFill="1" applyBorder="1" applyAlignment="1">
      <alignment horizontal="center"/>
    </xf>
    <xf numFmtId="43" fontId="0" fillId="0" borderId="48" xfId="1" applyFont="1" applyFill="1" applyBorder="1"/>
    <xf numFmtId="0" fontId="0" fillId="0" borderId="49" xfId="0" applyBorder="1" applyAlignment="1">
      <alignment horizontal="center"/>
    </xf>
    <xf numFmtId="0" fontId="0" fillId="0" borderId="50" xfId="0" applyBorder="1"/>
    <xf numFmtId="166" fontId="0" fillId="4" borderId="51" xfId="1" applyNumberFormat="1" applyFont="1" applyFill="1" applyBorder="1"/>
    <xf numFmtId="168" fontId="7" fillId="0" borderId="0" xfId="0" applyNumberFormat="1" applyFont="1"/>
    <xf numFmtId="2" fontId="0" fillId="0" borderId="0" xfId="0" applyNumberFormat="1"/>
    <xf numFmtId="169" fontId="0" fillId="0" borderId="0" xfId="0" applyNumberFormat="1"/>
    <xf numFmtId="168" fontId="0" fillId="0" borderId="0" xfId="0" applyNumberFormat="1"/>
    <xf numFmtId="0" fontId="7" fillId="4" borderId="0" xfId="0" applyFont="1" applyFill="1"/>
    <xf numFmtId="168" fontId="0" fillId="4" borderId="0" xfId="0" applyNumberFormat="1" applyFill="1"/>
    <xf numFmtId="43" fontId="0" fillId="4" borderId="0" xfId="0" applyNumberFormat="1" applyFill="1"/>
    <xf numFmtId="0" fontId="0" fillId="4" borderId="0" xfId="0" applyFill="1"/>
    <xf numFmtId="9" fontId="3" fillId="0" borderId="0" xfId="0" applyNumberFormat="1" applyFont="1"/>
    <xf numFmtId="43" fontId="0" fillId="0" borderId="0" xfId="1" applyFont="1" applyAlignment="1">
      <alignment horizontal="center"/>
    </xf>
    <xf numFmtId="0" fontId="3" fillId="0" borderId="52" xfId="3" applyFont="1" applyBorder="1"/>
    <xf numFmtId="0" fontId="0" fillId="0" borderId="0" xfId="1" applyNumberFormat="1" applyFont="1" applyBorder="1" applyAlignment="1">
      <alignment horizontal="center"/>
    </xf>
    <xf numFmtId="43" fontId="0" fillId="0" borderId="0" xfId="0" applyNumberFormat="1" applyAlignment="1">
      <alignment horizontal="center"/>
    </xf>
    <xf numFmtId="2" fontId="0" fillId="4" borderId="0" xfId="0" applyNumberFormat="1" applyFill="1"/>
    <xf numFmtId="2" fontId="0" fillId="0" borderId="0" xfId="0" applyNumberFormat="1" applyAlignment="1">
      <alignment horizontal="center"/>
    </xf>
    <xf numFmtId="43" fontId="0" fillId="4" borderId="0" xfId="0" quotePrefix="1" applyNumberFormat="1" applyFill="1"/>
    <xf numFmtId="43" fontId="0" fillId="0" borderId="0" xfId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168" fontId="0" fillId="4" borderId="0" xfId="0" quotePrefix="1" applyNumberFormat="1" applyFill="1" applyAlignment="1">
      <alignment vertical="center"/>
    </xf>
    <xf numFmtId="43" fontId="0" fillId="4" borderId="0" xfId="0" applyNumberFormat="1" applyFill="1" applyAlignment="1">
      <alignment horizontal="left" vertical="top" wrapText="1"/>
    </xf>
    <xf numFmtId="43" fontId="0" fillId="0" borderId="0" xfId="0" applyNumberFormat="1"/>
    <xf numFmtId="0" fontId="0" fillId="7" borderId="0" xfId="0" applyFill="1" applyAlignment="1">
      <alignment horizontal="center"/>
    </xf>
    <xf numFmtId="171" fontId="0" fillId="0" borderId="0" xfId="0" applyNumberFormat="1"/>
    <xf numFmtId="2" fontId="3" fillId="0" borderId="0" xfId="0" applyNumberFormat="1" applyFont="1" applyAlignment="1">
      <alignment horizontal="center"/>
    </xf>
    <xf numFmtId="172" fontId="0" fillId="0" borderId="0" xfId="0" applyNumberFormat="1"/>
    <xf numFmtId="43" fontId="0" fillId="0" borderId="0" xfId="1" applyFont="1"/>
    <xf numFmtId="0" fontId="9" fillId="12" borderId="52" xfId="3" applyFill="1" applyBorder="1"/>
    <xf numFmtId="0" fontId="9" fillId="0" borderId="52" xfId="3" applyBorder="1"/>
    <xf numFmtId="43" fontId="3" fillId="0" borderId="0" xfId="1" applyFont="1" applyAlignment="1">
      <alignment horizontal="center"/>
    </xf>
    <xf numFmtId="43" fontId="0" fillId="0" borderId="41" xfId="1" applyFont="1" applyBorder="1"/>
    <xf numFmtId="43" fontId="0" fillId="0" borderId="27" xfId="1" applyFont="1" applyFill="1" applyBorder="1"/>
    <xf numFmtId="43" fontId="0" fillId="0" borderId="27" xfId="1" applyFont="1" applyBorder="1"/>
    <xf numFmtId="43" fontId="0" fillId="0" borderId="53" xfId="1" applyFont="1" applyFill="1" applyBorder="1"/>
    <xf numFmtId="43" fontId="0" fillId="0" borderId="54" xfId="1" applyFont="1" applyBorder="1"/>
    <xf numFmtId="0" fontId="0" fillId="10" borderId="29" xfId="0" applyFill="1" applyBorder="1" applyAlignment="1">
      <alignment horizontal="center"/>
    </xf>
    <xf numFmtId="43" fontId="0" fillId="0" borderId="29" xfId="1" applyFont="1" applyBorder="1" applyAlignment="1">
      <alignment horizontal="center"/>
    </xf>
    <xf numFmtId="166" fontId="0" fillId="0" borderId="33" xfId="1" applyNumberFormat="1" applyFont="1" applyFill="1" applyBorder="1"/>
    <xf numFmtId="43" fontId="0" fillId="0" borderId="33" xfId="1" applyFont="1" applyFill="1" applyBorder="1"/>
    <xf numFmtId="169" fontId="7" fillId="0" borderId="0" xfId="0" applyNumberFormat="1" applyFont="1"/>
    <xf numFmtId="0" fontId="0" fillId="7" borderId="35" xfId="0" applyFill="1" applyBorder="1"/>
    <xf numFmtId="0" fontId="0" fillId="7" borderId="38" xfId="0" applyFill="1" applyBorder="1"/>
    <xf numFmtId="0" fontId="0" fillId="0" borderId="38" xfId="0" applyBorder="1" applyAlignment="1">
      <alignment wrapText="1"/>
    </xf>
    <xf numFmtId="167" fontId="0" fillId="7" borderId="0" xfId="0" applyNumberFormat="1" applyFill="1"/>
    <xf numFmtId="0" fontId="0" fillId="0" borderId="27" xfId="0" applyBorder="1"/>
    <xf numFmtId="166" fontId="0" fillId="4" borderId="29" xfId="1" applyNumberFormat="1" applyFont="1" applyFill="1" applyBorder="1"/>
    <xf numFmtId="0" fontId="0" fillId="0" borderId="0" xfId="1" applyNumberFormat="1" applyFont="1" applyAlignment="1">
      <alignment horizontal="center"/>
    </xf>
    <xf numFmtId="0" fontId="0" fillId="10" borderId="42" xfId="0" applyFill="1" applyBorder="1"/>
    <xf numFmtId="0" fontId="0" fillId="0" borderId="55" xfId="0" applyBorder="1"/>
    <xf numFmtId="0" fontId="0" fillId="8" borderId="56" xfId="0" applyFill="1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right"/>
    </xf>
    <xf numFmtId="49" fontId="0" fillId="7" borderId="38" xfId="0" applyNumberFormat="1" applyFill="1" applyBorder="1" applyAlignment="1">
      <alignment horizontal="center"/>
    </xf>
    <xf numFmtId="0" fontId="12" fillId="13" borderId="38" xfId="0" applyFont="1" applyFill="1" applyBorder="1"/>
    <xf numFmtId="0" fontId="12" fillId="14" borderId="38" xfId="0" applyFont="1" applyFill="1" applyBorder="1"/>
    <xf numFmtId="0" fontId="12" fillId="13" borderId="0" xfId="0" applyFont="1" applyFill="1"/>
    <xf numFmtId="0" fontId="13" fillId="0" borderId="29" xfId="0" applyFont="1" applyBorder="1"/>
    <xf numFmtId="0" fontId="0" fillId="0" borderId="27" xfId="0" applyBorder="1" applyAlignment="1">
      <alignment horizontal="center"/>
    </xf>
    <xf numFmtId="167" fontId="0" fillId="8" borderId="29" xfId="0" applyNumberFormat="1" applyFill="1" applyBorder="1"/>
    <xf numFmtId="167" fontId="0" fillId="7" borderId="47" xfId="0" applyNumberFormat="1" applyFill="1" applyBorder="1"/>
    <xf numFmtId="43" fontId="0" fillId="0" borderId="29" xfId="1" applyFont="1" applyBorder="1" applyAlignment="1">
      <alignment horizontal="right"/>
    </xf>
    <xf numFmtId="0" fontId="0" fillId="0" borderId="42" xfId="0" applyBorder="1" applyAlignment="1">
      <alignment horizontal="center"/>
    </xf>
    <xf numFmtId="43" fontId="0" fillId="7" borderId="29" xfId="1" applyFont="1" applyFill="1" applyBorder="1"/>
    <xf numFmtId="43" fontId="0" fillId="15" borderId="28" xfId="1" applyFont="1" applyFill="1" applyBorder="1"/>
    <xf numFmtId="43" fontId="0" fillId="15" borderId="29" xfId="1" applyFont="1" applyFill="1" applyBorder="1"/>
    <xf numFmtId="43" fontId="0" fillId="16" borderId="28" xfId="1" applyFont="1" applyFill="1" applyBorder="1"/>
    <xf numFmtId="43" fontId="0" fillId="16" borderId="29" xfId="1" applyFont="1" applyFill="1" applyBorder="1"/>
    <xf numFmtId="166" fontId="0" fillId="16" borderId="29" xfId="1" applyNumberFormat="1" applyFont="1" applyFill="1" applyBorder="1"/>
    <xf numFmtId="168" fontId="7" fillId="4" borderId="0" xfId="0" applyNumberFormat="1" applyFont="1" applyFill="1"/>
    <xf numFmtId="0" fontId="0" fillId="0" borderId="3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43" fontId="0" fillId="17" borderId="31" xfId="1" applyFont="1" applyFill="1" applyBorder="1"/>
    <xf numFmtId="43" fontId="0" fillId="17" borderId="29" xfId="1" applyFont="1" applyFill="1" applyBorder="1"/>
    <xf numFmtId="43" fontId="0" fillId="12" borderId="29" xfId="1" applyFont="1" applyFill="1" applyBorder="1"/>
    <xf numFmtId="0" fontId="0" fillId="7" borderId="38" xfId="0" applyFill="1" applyBorder="1" applyAlignment="1">
      <alignment horizontal="left"/>
    </xf>
    <xf numFmtId="4" fontId="0" fillId="0" borderId="12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5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4" fontId="7" fillId="3" borderId="1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164" fontId="8" fillId="0" borderId="3" xfId="0" applyNumberFormat="1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0" fillId="3" borderId="12" xfId="0" applyNumberForma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17" fontId="0" fillId="0" borderId="1" xfId="0" applyNumberFormat="1" applyBorder="1" applyAlignment="1">
      <alignment horizontal="center"/>
    </xf>
    <xf numFmtId="17" fontId="0" fillId="0" borderId="2" xfId="0" applyNumberFormat="1" applyBorder="1" applyAlignment="1">
      <alignment horizontal="center"/>
    </xf>
    <xf numFmtId="0" fontId="0" fillId="0" borderId="56" xfId="0" applyBorder="1" applyAlignment="1">
      <alignment horizontal="left"/>
    </xf>
    <xf numFmtId="0" fontId="0" fillId="0" borderId="57" xfId="0" applyBorder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17" fontId="0" fillId="0" borderId="0" xfId="0" applyNumberFormat="1" applyAlignment="1">
      <alignment horizontal="center"/>
    </xf>
    <xf numFmtId="0" fontId="0" fillId="0" borderId="16" xfId="0" applyBorder="1" applyAlignment="1">
      <alignment horizontal="center"/>
    </xf>
    <xf numFmtId="0" fontId="11" fillId="2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</cellXfs>
  <cellStyles count="9">
    <cellStyle name="Comma" xfId="1" builtinId="3"/>
    <cellStyle name="Comma 3" xfId="5" xr:uid="{1D3964CE-BBA4-468A-A2BF-93C7E26E23B3}"/>
    <cellStyle name="Normal" xfId="0" builtinId="0"/>
    <cellStyle name="Normal 10" xfId="8" xr:uid="{96EB7471-EAEA-4BA8-BFF8-EA607418054E}"/>
    <cellStyle name="Normal 10 2" xfId="2" xr:uid="{6C45F239-B6F6-4A23-BAEC-BDECC65042E1}"/>
    <cellStyle name="Normal 2" xfId="7" xr:uid="{E7D7C8A8-414F-45AA-813F-89CF4C7523B6}"/>
    <cellStyle name="Normal 2 2 2" xfId="3" xr:uid="{56F08C0B-D694-44A1-91E9-CC1444D930BE}"/>
    <cellStyle name="Normal 3" xfId="4" xr:uid="{53427733-6F93-4B71-A3D9-33890CD34A37}"/>
    <cellStyle name="Normal 3 2" xfId="6" xr:uid="{DC8DADA7-F9FE-44A2-999F-C9E5E0AF9063}"/>
  </cellStyles>
  <dxfs count="161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83820</xdr:colOff>
      <xdr:row>0</xdr:row>
      <xdr:rowOff>68580</xdr:rowOff>
    </xdr:from>
    <xdr:to>
      <xdr:col>2</xdr:col>
      <xdr:colOff>586740</xdr:colOff>
      <xdr:row>6</xdr:row>
      <xdr:rowOff>203315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B1DFD8-FA7A-432F-BDC2-EF7508F01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" y="68580"/>
          <a:ext cx="1874520" cy="12967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</xdr:row>
          <xdr:rowOff>180975</xdr:rowOff>
        </xdr:from>
        <xdr:to>
          <xdr:col>5</xdr:col>
          <xdr:colOff>95250</xdr:colOff>
          <xdr:row>4</xdr:row>
          <xdr:rowOff>123825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slips to    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2</xdr:row>
          <xdr:rowOff>19050</xdr:rowOff>
        </xdr:from>
        <xdr:to>
          <xdr:col>6</xdr:col>
          <xdr:colOff>485775</xdr:colOff>
          <xdr:row>4</xdr:row>
          <xdr:rowOff>66675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1">
                <a:defRPr sz="1000"/>
              </a:pPr>
              <a:r>
                <a:rPr lang="ar-JO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طباعة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Marah Abu Obaid | Ejada Systems" id="{5DC898BB-A066-4E1D-92AC-0DF65BBA8D29}" userId="S::mabuobaid@ejada.com::cc4df962-d32b-4eb7-b97e-68c70619f6ac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0" dT="2025-11-18T12:50:26.58" personId="{5DC898BB-A066-4E1D-92AC-0DF65BBA8D29}" id="{50812A5B-D67E-4A29-A236-872145209055}">
    <text>Last working day 20/11/2025</text>
  </threadedComment>
  <threadedComment ref="F27" dT="2025-11-18T10:43:49.17" personId="{5DC898BB-A066-4E1D-92AC-0DF65BBA8D29}" id="{4C309799-0B82-4E05-8CDD-4AC04AEC317F}">
    <text>Unpaid leave from 10 Nov to 31 Dec</text>
  </threadedComment>
  <threadedComment ref="F107" dT="2025-10-19T14:34:47.55" personId="{5DC898BB-A066-4E1D-92AC-0DF65BBA8D29}" id="{BB705B14-1ED3-4B0F-99AF-D77C6053F620}">
    <text>New contract from 06/10</text>
  </threadedComment>
  <threadedComment ref="F109" dT="2025-10-19T14:35:03.88" personId="{5DC898BB-A066-4E1D-92AC-0DF65BBA8D29}" id="{D92C2333-17AF-473D-9247-FF04D222CC2C}">
    <text>New contract from 14/10</text>
  </threadedComment>
  <threadedComment ref="E117" dT="2025-09-17T06:40:25.00" personId="{5DC898BB-A066-4E1D-92AC-0DF65BBA8D29}" id="{06F074C7-5DD1-424C-92F5-1335121F77FC}">
    <text>Start date 24/08</text>
  </threadedComment>
  <threadedComment ref="E118" dT="2025-09-17T06:40:56.89" personId="{5DC898BB-A066-4E1D-92AC-0DF65BBA8D29}" id="{AFFF2F69-80EB-413E-99D4-E9393BB51F20}">
    <text>Start Date 24/08</text>
  </threadedComment>
  <threadedComment ref="E119" dT="2025-09-17T06:41:33.31" personId="{5DC898BB-A066-4E1D-92AC-0DF65BBA8D29}" id="{1C119096-6958-4A94-AAF9-15961D31B784}">
    <text>Start Date 24/08</text>
  </threadedComment>
  <threadedComment ref="E120" dT="2025-09-17T06:41:48.50" personId="{5DC898BB-A066-4E1D-92AC-0DF65BBA8D29}" id="{FF18799A-E425-4C62-95C9-B1C0E45D6F30}">
    <text>Start Date 24/08</text>
  </threadedComment>
  <threadedComment ref="E121" dT="2025-09-17T06:42:01.94" personId="{5DC898BB-A066-4E1D-92AC-0DF65BBA8D29}" id="{568189F6-9991-4987-B398-8A398A56B216}">
    <text>Start Date 24/08</text>
  </threadedComment>
  <threadedComment ref="E122" dT="2025-09-16T08:12:48.39" personId="{5DC898BB-A066-4E1D-92AC-0DF65BBA8D29}" id="{9448476E-E735-4953-956F-4C5BD81B8C18}">
    <text>Start date 01/09</text>
  </threadedComment>
  <threadedComment ref="E123" dT="2025-09-16T08:13:16.37" personId="{5DC898BB-A066-4E1D-92AC-0DF65BBA8D29}" id="{A6C3C5F3-C110-40E0-B5EB-5A315E2B05B0}">
    <text>Start date 02/09</text>
  </threadedComment>
  <threadedComment ref="E124" dT="2025-09-16T08:12:09.28" personId="{5DC898BB-A066-4E1D-92AC-0DF65BBA8D29}" id="{96DC849E-E047-4451-ABEA-9D956A726D5D}">
    <text>Start date 07/09</text>
  </threadedComment>
  <threadedComment ref="E125" dT="2025-09-16T08:11:35.97" personId="{5DC898BB-A066-4E1D-92AC-0DF65BBA8D29}" id="{80A4A981-F283-4459-8797-CC82B7FF403C}">
    <text>Start date 09/09</text>
  </threadedComment>
  <threadedComment ref="E126" dT="2025-09-23T09:13:27.95" personId="{5DC898BB-A066-4E1D-92AC-0DF65BBA8D29}" id="{0628F6C5-6029-4D7A-9960-3D5F39C1AEF7}">
    <text>Start date 21/09/2025</text>
  </threadedComment>
  <threadedComment ref="E127" dT="2025-09-23T09:14:06.31" personId="{5DC898BB-A066-4E1D-92AC-0DF65BBA8D29}" id="{78133DAF-43F8-456B-9858-0DCC12A3A05C}">
    <text>Start date 21/09/2025</text>
  </threadedComment>
  <threadedComment ref="E128" dT="2025-09-23T09:15:33.75" personId="{5DC898BB-A066-4E1D-92AC-0DF65BBA8D29}" id="{6D41C679-177C-40BF-AE53-58E359FB2E48}">
    <text>Start date 21/09/2025</text>
  </threadedComment>
  <threadedComment ref="E129" dT="2025-09-23T09:15:41.60" personId="{5DC898BB-A066-4E1D-92AC-0DF65BBA8D29}" id="{59DF981F-2B9F-40E8-A022-4FAB91041D15}">
    <text>Start date 21/09/2025</text>
  </threadedComment>
  <threadedComment ref="E130" dT="2025-09-23T09:15:48.06" personId="{5DC898BB-A066-4E1D-92AC-0DF65BBA8D29}" id="{3FE7FA66-EA1D-47EE-BCBB-62D28A3C51CA}">
    <text>Start date 21/09/2025</text>
  </threadedComment>
  <threadedComment ref="E131" dT="2025-10-14T09:52:59.45" personId="{5DC898BB-A066-4E1D-92AC-0DF65BBA8D29}" id="{3CE4905E-134F-4202-90BF-786D0BBB4B28}">
    <text>Joining Date 05/10</text>
  </threadedComment>
  <threadedComment ref="E132" dT="2025-10-14T09:53:06.50" personId="{5DC898BB-A066-4E1D-92AC-0DF65BBA8D29}" id="{5E05B44A-6615-4AC3-81BC-534BCB05C892}">
    <text>Joining Date 05/10</text>
  </threadedComment>
  <threadedComment ref="E133" dT="2025-10-14T09:53:16.23" personId="{5DC898BB-A066-4E1D-92AC-0DF65BBA8D29}" id="{A08D5138-CE08-4E02-A800-940D24FEBF1E}">
    <text>Joining Date 08/10</text>
  </threadedComment>
  <threadedComment ref="E134" dT="2025-11-16T09:37:12.42" personId="{5DC898BB-A066-4E1D-92AC-0DF65BBA8D29}" id="{53ED424F-1890-4D71-A64E-7840587784C6}">
    <text>Joining Date 26/10/2025</text>
  </threadedComment>
  <threadedComment ref="E135" dT="2025-11-16T09:37:40.39" personId="{5DC898BB-A066-4E1D-92AC-0DF65BBA8D29}" id="{293E4277-F5A3-4972-8FA9-BC1654C62D44}">
    <text>Joining Date 09/11/2025</text>
  </threadedComment>
  <threadedComment ref="E136" dT="2025-11-16T09:37:55.38" personId="{5DC898BB-A066-4E1D-92AC-0DF65BBA8D29}" id="{C281F5C7-240B-4EF4-8F34-9DFE9FA455F5}">
    <text>Joining Date 10/11/2025</text>
  </threadedComment>
  <threadedComment ref="E137" dT="2025-11-16T09:38:08.53" personId="{5DC898BB-A066-4E1D-92AC-0DF65BBA8D29}" id="{CE51FDE8-AD0F-4EB1-AA93-FB42F1DB03EC}">
    <text>Joining Date 11/11/2025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08" dT="2025-10-19T14:34:47.55" personId="{5DC898BB-A066-4E1D-92AC-0DF65BBA8D29}" id="{D393EF77-0DDC-4D0F-B818-AE29CC7A0EFD}">
    <text>New contract from 06/10</text>
  </threadedComment>
  <threadedComment ref="F110" dT="2025-10-19T14:35:03.88" personId="{5DC898BB-A066-4E1D-92AC-0DF65BBA8D29}" id="{423507A7-E511-480D-8F9E-EB92F1272394}">
    <text>New contract from 14/10</text>
  </threadedComment>
  <threadedComment ref="E118" dT="2025-09-17T06:40:25.00" personId="{5DC898BB-A066-4E1D-92AC-0DF65BBA8D29}" id="{2379F0A4-8211-4EC2-8A1A-CEFE4E4295D8}">
    <text>Start date 24/08</text>
  </threadedComment>
  <threadedComment ref="E119" dT="2025-09-17T06:40:56.89" personId="{5DC898BB-A066-4E1D-92AC-0DF65BBA8D29}" id="{BED4862F-7EC0-43EB-A3F7-9657C8A77F56}">
    <text>Start Date 24/08</text>
  </threadedComment>
  <threadedComment ref="E120" dT="2025-09-17T06:41:33.31" personId="{5DC898BB-A066-4E1D-92AC-0DF65BBA8D29}" id="{D31A021E-A0BA-4BBB-AF10-79C3D647C2E9}">
    <text>Start Date 24/08</text>
  </threadedComment>
  <threadedComment ref="E121" dT="2025-09-17T06:41:48.50" personId="{5DC898BB-A066-4E1D-92AC-0DF65BBA8D29}" id="{8AB02AF6-9907-408E-9128-149ACAA7D017}">
    <text>Start Date 24/08</text>
  </threadedComment>
  <threadedComment ref="E122" dT="2025-09-17T06:42:01.94" personId="{5DC898BB-A066-4E1D-92AC-0DF65BBA8D29}" id="{AC7ED2DB-B900-4F99-901E-D230F63E5DEC}">
    <text>Start Date 24/08</text>
  </threadedComment>
  <threadedComment ref="E123" dT="2025-09-16T08:12:48.39" personId="{5DC898BB-A066-4E1D-92AC-0DF65BBA8D29}" id="{1CCE9575-2A78-447E-88AE-B77625328CFE}">
    <text>Start date 01/09</text>
  </threadedComment>
  <threadedComment ref="E124" dT="2025-09-16T08:13:16.37" personId="{5DC898BB-A066-4E1D-92AC-0DF65BBA8D29}" id="{84AF46E4-85A5-4724-B715-E8C671039A3A}">
    <text>Start date 02/09</text>
  </threadedComment>
  <threadedComment ref="E125" dT="2025-09-16T08:12:09.28" personId="{5DC898BB-A066-4E1D-92AC-0DF65BBA8D29}" id="{EA3AB2D6-19CE-406C-844C-A47E7F9C8767}">
    <text>Start date 07/09</text>
  </threadedComment>
  <threadedComment ref="E126" dT="2025-09-16T08:11:35.97" personId="{5DC898BB-A066-4E1D-92AC-0DF65BBA8D29}" id="{6030F9DC-19C4-4664-92E4-1AC0E6D055BF}">
    <text>Start date 09/09</text>
  </threadedComment>
  <threadedComment ref="E127" dT="2025-09-23T09:13:27.95" personId="{5DC898BB-A066-4E1D-92AC-0DF65BBA8D29}" id="{228D8EC9-7EAC-4C27-8BBB-4FBB253D3DB4}">
    <text>Start date 21/09/2025</text>
  </threadedComment>
  <threadedComment ref="E128" dT="2025-09-23T09:14:06.31" personId="{5DC898BB-A066-4E1D-92AC-0DF65BBA8D29}" id="{FFA30F1A-194F-4AA5-B61A-0FC158482C18}">
    <text>Start date 21/09/2025</text>
  </threadedComment>
  <threadedComment ref="E129" dT="2025-09-23T09:15:33.75" personId="{5DC898BB-A066-4E1D-92AC-0DF65BBA8D29}" id="{0A9DFEBC-E306-4AD3-9EC4-B067DC55A075}">
    <text>Start date 21/09/2025</text>
  </threadedComment>
  <threadedComment ref="E130" dT="2025-09-23T09:15:41.60" personId="{5DC898BB-A066-4E1D-92AC-0DF65BBA8D29}" id="{B3CEC895-2B75-4E85-A2D5-2F468D0A4D34}">
    <text>Start date 21/09/2025</text>
  </threadedComment>
  <threadedComment ref="E131" dT="2025-09-23T09:15:48.06" personId="{5DC898BB-A066-4E1D-92AC-0DF65BBA8D29}" id="{FECBC1C3-246F-4016-9428-71CBCEEC1E96}">
    <text>Start date 21/09/2025</text>
  </threadedComment>
  <threadedComment ref="E132" dT="2025-10-14T09:52:59.45" personId="{5DC898BB-A066-4E1D-92AC-0DF65BBA8D29}" id="{ED88CE26-C30E-47E8-A3BE-12E77EC7EBB4}">
    <text>Joining Date 05/10</text>
  </threadedComment>
  <threadedComment ref="E133" dT="2025-10-14T09:53:06.50" personId="{5DC898BB-A066-4E1D-92AC-0DF65BBA8D29}" id="{2ABA1BD3-2CD4-49D3-BA4E-B51B710506D6}">
    <text>Joining Date 05/10</text>
  </threadedComment>
  <threadedComment ref="E134" dT="2025-10-14T09:53:16.23" personId="{5DC898BB-A066-4E1D-92AC-0DF65BBA8D29}" id="{ACAF56F6-D78B-4384-9AB8-5B32E05E9128}">
    <text>Joining Date 08/10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270FE-D8CF-4139-9C46-0E51EFE591D8}">
  <sheetPr codeName="Sheet3"/>
  <dimension ref="A6:H37"/>
  <sheetViews>
    <sheetView view="pageBreakPreview" topLeftCell="A10" zoomScale="145" zoomScaleNormal="100" zoomScaleSheetLayoutView="145" workbookViewId="0">
      <selection activeCell="G31" sqref="G31:H31"/>
    </sheetView>
  </sheetViews>
  <sheetFormatPr defaultRowHeight="14.25" x14ac:dyDescent="0.2"/>
  <cols>
    <col min="3" max="3" width="31" bestFit="1" customWidth="1"/>
    <col min="4" max="4" width="9" customWidth="1"/>
    <col min="5" max="5" width="16" bestFit="1" customWidth="1"/>
    <col min="7" max="7" width="16.5" customWidth="1"/>
  </cols>
  <sheetData>
    <row r="6" spans="1:8" ht="20.25" x14ac:dyDescent="0.3">
      <c r="D6" s="176" t="s">
        <v>0</v>
      </c>
      <c r="E6" s="176"/>
      <c r="F6" s="176"/>
    </row>
    <row r="7" spans="1:8" ht="20.25" x14ac:dyDescent="0.3">
      <c r="E7" s="1"/>
    </row>
    <row r="8" spans="1:8" x14ac:dyDescent="0.2">
      <c r="E8" s="2"/>
    </row>
    <row r="9" spans="1:8" ht="14.45" customHeight="1" x14ac:dyDescent="0.25">
      <c r="A9" s="3" t="s">
        <v>1</v>
      </c>
      <c r="C9" s="4" t="s">
        <v>2</v>
      </c>
      <c r="E9" s="3" t="s">
        <v>3</v>
      </c>
      <c r="G9" s="5"/>
    </row>
    <row r="10" spans="1:8" ht="15" x14ac:dyDescent="0.25">
      <c r="A10" s="3" t="s">
        <v>4</v>
      </c>
      <c r="C10" s="5" t="s">
        <v>5</v>
      </c>
      <c r="E10" s="3" t="s">
        <v>6</v>
      </c>
      <c r="G10" s="5"/>
    </row>
    <row r="11" spans="1:8" ht="15" x14ac:dyDescent="0.25">
      <c r="A11" s="3" t="s">
        <v>7</v>
      </c>
      <c r="C11" s="4" t="s">
        <v>8</v>
      </c>
    </row>
    <row r="12" spans="1:8" ht="15" x14ac:dyDescent="0.25">
      <c r="A12" s="3" t="s">
        <v>9</v>
      </c>
      <c r="C12" s="5" t="s">
        <v>10</v>
      </c>
    </row>
    <row r="13" spans="1:8" ht="15" thickBot="1" x14ac:dyDescent="0.25"/>
    <row r="14" spans="1:8" ht="15.75" thickBot="1" x14ac:dyDescent="0.3">
      <c r="B14" s="6"/>
      <c r="C14" s="7"/>
      <c r="D14" s="7"/>
      <c r="E14" s="7"/>
      <c r="F14" s="7"/>
      <c r="G14" s="177" t="s">
        <v>11</v>
      </c>
      <c r="H14" s="178"/>
    </row>
    <row r="15" spans="1:8" ht="15" x14ac:dyDescent="0.25">
      <c r="B15" s="8" t="s">
        <v>12</v>
      </c>
      <c r="C15" s="9"/>
      <c r="D15" s="9"/>
      <c r="E15" s="9"/>
      <c r="F15" s="9"/>
      <c r="G15" s="10"/>
      <c r="H15" s="11"/>
    </row>
    <row r="16" spans="1:8" x14ac:dyDescent="0.2">
      <c r="B16" s="12" t="s">
        <v>13</v>
      </c>
      <c r="C16" s="13"/>
      <c r="D16" s="13"/>
      <c r="E16" s="13"/>
      <c r="F16" s="13"/>
      <c r="G16" s="179"/>
      <c r="H16" s="180"/>
    </row>
    <row r="17" spans="2:8" ht="15" x14ac:dyDescent="0.25">
      <c r="B17" s="14" t="s">
        <v>14</v>
      </c>
      <c r="C17" s="9"/>
      <c r="D17" s="9"/>
      <c r="E17" s="9"/>
      <c r="F17" s="9"/>
      <c r="G17" s="15"/>
      <c r="H17" s="16"/>
    </row>
    <row r="18" spans="2:8" x14ac:dyDescent="0.2">
      <c r="B18" s="17" t="s">
        <v>15</v>
      </c>
      <c r="C18" s="18"/>
      <c r="D18" s="18"/>
      <c r="E18" s="18"/>
      <c r="F18" s="19"/>
      <c r="G18" s="174">
        <v>0</v>
      </c>
      <c r="H18" s="175"/>
    </row>
    <row r="19" spans="2:8" x14ac:dyDescent="0.2">
      <c r="B19" s="20" t="s">
        <v>16</v>
      </c>
      <c r="D19" s="18"/>
      <c r="E19" s="18"/>
      <c r="F19" s="19"/>
      <c r="G19" s="174">
        <v>0</v>
      </c>
      <c r="H19" s="175"/>
    </row>
    <row r="20" spans="2:8" x14ac:dyDescent="0.2">
      <c r="B20" s="21" t="s">
        <v>17</v>
      </c>
      <c r="C20" s="18"/>
      <c r="D20" s="18"/>
      <c r="E20" s="19"/>
      <c r="F20" s="18"/>
      <c r="G20" s="174">
        <v>0</v>
      </c>
      <c r="H20" s="175"/>
    </row>
    <row r="21" spans="2:8" x14ac:dyDescent="0.2">
      <c r="B21" s="17" t="s">
        <v>18</v>
      </c>
      <c r="E21" s="18"/>
      <c r="G21" s="174">
        <v>0</v>
      </c>
      <c r="H21" s="175"/>
    </row>
    <row r="22" spans="2:8" ht="15" thickBot="1" x14ac:dyDescent="0.25">
      <c r="B22" s="22" t="s">
        <v>19</v>
      </c>
      <c r="C22" s="23"/>
      <c r="D22" s="23"/>
      <c r="E22" s="24"/>
      <c r="F22" s="23"/>
      <c r="G22" s="179">
        <v>0</v>
      </c>
      <c r="H22" s="180"/>
    </row>
    <row r="23" spans="2:8" ht="16.5" thickBot="1" x14ac:dyDescent="0.3">
      <c r="B23" s="25" t="s">
        <v>20</v>
      </c>
      <c r="C23" s="26"/>
      <c r="D23" s="26"/>
      <c r="E23" s="26"/>
      <c r="F23" s="26"/>
      <c r="G23" s="185"/>
      <c r="H23" s="186"/>
    </row>
    <row r="24" spans="2:8" ht="15" x14ac:dyDescent="0.25">
      <c r="B24" s="27" t="s">
        <v>21</v>
      </c>
      <c r="C24" s="28"/>
      <c r="D24" s="29"/>
      <c r="E24" s="28"/>
      <c r="F24" s="29"/>
      <c r="G24" s="187"/>
      <c r="H24" s="188"/>
    </row>
    <row r="25" spans="2:8" x14ac:dyDescent="0.2">
      <c r="B25" s="17" t="s">
        <v>22</v>
      </c>
      <c r="C25" s="19"/>
      <c r="D25" s="19"/>
      <c r="F25" s="19"/>
      <c r="G25" s="179"/>
      <c r="H25" s="180"/>
    </row>
    <row r="26" spans="2:8" x14ac:dyDescent="0.2">
      <c r="B26" s="17" t="s">
        <v>23</v>
      </c>
      <c r="C26" s="19"/>
      <c r="D26" s="19"/>
      <c r="E26" s="19"/>
      <c r="F26" s="19"/>
      <c r="G26" s="179"/>
      <c r="H26" s="180"/>
    </row>
    <row r="27" spans="2:8" x14ac:dyDescent="0.2">
      <c r="B27" s="17" t="s">
        <v>24</v>
      </c>
      <c r="C27" s="19"/>
      <c r="D27" s="19"/>
      <c r="E27" s="19"/>
      <c r="F27" s="19"/>
      <c r="G27" s="174">
        <v>0</v>
      </c>
      <c r="H27" s="191"/>
    </row>
    <row r="28" spans="2:8" ht="15" x14ac:dyDescent="0.25">
      <c r="B28" s="8" t="s">
        <v>25</v>
      </c>
      <c r="C28" s="30"/>
      <c r="D28" s="30"/>
      <c r="E28" s="30"/>
      <c r="F28" s="30"/>
      <c r="G28" s="192"/>
      <c r="H28" s="193"/>
    </row>
    <row r="29" spans="2:8" x14ac:dyDescent="0.2">
      <c r="B29" s="17" t="s">
        <v>26</v>
      </c>
      <c r="C29" s="19"/>
      <c r="D29" s="19"/>
      <c r="E29" s="19"/>
      <c r="F29" s="19"/>
      <c r="G29" s="174">
        <v>0</v>
      </c>
      <c r="H29" s="175"/>
    </row>
    <row r="30" spans="2:8" x14ac:dyDescent="0.2">
      <c r="B30" s="181" t="s">
        <v>27</v>
      </c>
      <c r="C30" s="182"/>
      <c r="D30" s="19"/>
      <c r="E30" s="19"/>
      <c r="F30" s="18"/>
      <c r="G30" s="174">
        <v>0</v>
      </c>
      <c r="H30" s="175"/>
    </row>
    <row r="31" spans="2:8" ht="15" thickBot="1" x14ac:dyDescent="0.25">
      <c r="B31" s="183" t="s">
        <v>28</v>
      </c>
      <c r="C31" s="184"/>
      <c r="D31" s="23"/>
      <c r="E31" s="23"/>
      <c r="F31" s="23"/>
      <c r="G31" s="174"/>
      <c r="H31" s="175"/>
    </row>
    <row r="32" spans="2:8" ht="16.5" thickBot="1" x14ac:dyDescent="0.3">
      <c r="B32" s="25" t="s">
        <v>29</v>
      </c>
      <c r="C32" s="26"/>
      <c r="D32" s="26"/>
      <c r="E32" s="26"/>
      <c r="F32" s="26"/>
      <c r="G32" s="185"/>
      <c r="H32" s="186"/>
    </row>
    <row r="33" spans="2:8" ht="21" thickBot="1" x14ac:dyDescent="0.35">
      <c r="B33" s="31" t="s">
        <v>30</v>
      </c>
      <c r="C33" s="32"/>
      <c r="D33" s="32"/>
      <c r="E33" s="32"/>
      <c r="F33" s="32"/>
      <c r="G33" s="189"/>
      <c r="H33" s="190"/>
    </row>
    <row r="35" spans="2:8" x14ac:dyDescent="0.2">
      <c r="C35" s="33" t="str">
        <f>IF(Control!E7=TRUE,"Employee signature","")</f>
        <v/>
      </c>
    </row>
    <row r="37" spans="2:8" x14ac:dyDescent="0.2">
      <c r="C37" t="str">
        <f>IF(Control!E7=TRUE,"….........................................................","")</f>
        <v/>
      </c>
    </row>
  </sheetData>
  <protectedRanges>
    <protectedRange sqref="C11" name="Range1"/>
  </protectedRanges>
  <mergeCells count="21">
    <mergeCell ref="G32:H32"/>
    <mergeCell ref="G33:H33"/>
    <mergeCell ref="G27:H27"/>
    <mergeCell ref="G28:H28"/>
    <mergeCell ref="G29:H29"/>
    <mergeCell ref="B30:C30"/>
    <mergeCell ref="G30:H30"/>
    <mergeCell ref="B31:C31"/>
    <mergeCell ref="G31:H31"/>
    <mergeCell ref="G21:H21"/>
    <mergeCell ref="G22:H22"/>
    <mergeCell ref="G23:H23"/>
    <mergeCell ref="G24:H24"/>
    <mergeCell ref="G25:H25"/>
    <mergeCell ref="G26:H26"/>
    <mergeCell ref="G20:H20"/>
    <mergeCell ref="D6:F6"/>
    <mergeCell ref="G14:H14"/>
    <mergeCell ref="G16:H16"/>
    <mergeCell ref="G18:H18"/>
    <mergeCell ref="G19:H19"/>
  </mergeCells>
  <pageMargins left="0.7" right="0.7" top="0.75" bottom="0.75" header="0.3" footer="0.3"/>
  <pageSetup paperSize="9" scale="72" orientation="portrait" blackAndWhite="1" r:id="rId1"/>
  <headerFooter>
    <oddFooter>&amp;C_x000D_&amp;1#&amp;"Calibri"&amp;10&amp;KFFFF00 Ejada Internal Use Only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77A08-8F08-4B16-9992-50DB068CE072}">
  <sheetPr codeName="Sheet4"/>
  <dimension ref="A1:F11"/>
  <sheetViews>
    <sheetView showGridLines="0" tabSelected="1" zoomScale="190" zoomScaleNormal="190" workbookViewId="0">
      <selection activeCell="C6" sqref="C6"/>
    </sheetView>
  </sheetViews>
  <sheetFormatPr defaultRowHeight="14.25" x14ac:dyDescent="0.2"/>
  <cols>
    <col min="1" max="1" width="14.25" customWidth="1"/>
    <col min="2" max="2" width="9.75" customWidth="1"/>
    <col min="6" max="6" width="13.125" customWidth="1"/>
  </cols>
  <sheetData>
    <row r="1" spans="1:6" ht="15" thickBot="1" x14ac:dyDescent="0.25">
      <c r="A1" s="148" t="s">
        <v>36</v>
      </c>
      <c r="B1" s="149" t="s">
        <v>139</v>
      </c>
      <c r="C1" s="196" t="str">
        <f>VLOOKUP(B1,NAMES!A:B,2,FALSE)</f>
        <v>Monther Mohd.A.Fattah Hammdi Quttan</v>
      </c>
      <c r="D1" s="196"/>
      <c r="E1" s="196"/>
      <c r="F1" s="197"/>
    </row>
    <row r="2" spans="1:6" ht="15" thickBot="1" x14ac:dyDescent="0.25"/>
    <row r="3" spans="1:6" ht="15" thickBot="1" x14ac:dyDescent="0.25">
      <c r="A3" s="194">
        <v>45717</v>
      </c>
      <c r="B3" s="195"/>
      <c r="C3" s="169" t="b">
        <v>0</v>
      </c>
    </row>
    <row r="4" spans="1:6" ht="15" thickBot="1" x14ac:dyDescent="0.25">
      <c r="A4" s="194">
        <v>45748</v>
      </c>
      <c r="B4" s="195"/>
      <c r="C4" s="169" t="b">
        <v>0</v>
      </c>
    </row>
    <row r="5" spans="1:6" ht="15" thickBot="1" x14ac:dyDescent="0.25">
      <c r="A5" s="194">
        <v>45778</v>
      </c>
      <c r="B5" s="195"/>
      <c r="C5" s="169" t="b">
        <v>0</v>
      </c>
    </row>
    <row r="6" spans="1:6" ht="15" thickBot="1" x14ac:dyDescent="0.25">
      <c r="A6" s="194">
        <v>45809</v>
      </c>
      <c r="B6" s="195"/>
      <c r="C6" s="169" t="b">
        <v>1</v>
      </c>
    </row>
    <row r="7" spans="1:6" ht="15" thickBot="1" x14ac:dyDescent="0.25">
      <c r="A7" s="194">
        <v>45839</v>
      </c>
      <c r="B7" s="195"/>
      <c r="C7" s="169" t="b">
        <v>1</v>
      </c>
      <c r="D7" s="151" t="s">
        <v>503</v>
      </c>
      <c r="E7" s="150" t="b">
        <v>0</v>
      </c>
      <c r="F7">
        <f>COUNTIF(C3:C14, TRUE)</f>
        <v>6</v>
      </c>
    </row>
    <row r="8" spans="1:6" ht="15" thickBot="1" x14ac:dyDescent="0.25">
      <c r="A8" s="194">
        <v>45870</v>
      </c>
      <c r="B8" s="195"/>
      <c r="C8" s="169" t="b">
        <v>1</v>
      </c>
    </row>
    <row r="9" spans="1:6" ht="15" thickBot="1" x14ac:dyDescent="0.25">
      <c r="A9" s="194">
        <v>45901</v>
      </c>
      <c r="B9" s="195"/>
      <c r="C9" s="169" t="b">
        <v>1</v>
      </c>
    </row>
    <row r="10" spans="1:6" ht="15" thickBot="1" x14ac:dyDescent="0.25">
      <c r="A10" s="194">
        <v>45931</v>
      </c>
      <c r="B10" s="195"/>
      <c r="C10" s="169" t="b">
        <v>1</v>
      </c>
    </row>
    <row r="11" spans="1:6" ht="15" thickBot="1" x14ac:dyDescent="0.25">
      <c r="A11" s="194">
        <v>45962</v>
      </c>
      <c r="B11" s="195"/>
      <c r="C11" s="169" t="b">
        <v>1</v>
      </c>
    </row>
  </sheetData>
  <mergeCells count="10">
    <mergeCell ref="C1:F1"/>
    <mergeCell ref="A3:B3"/>
    <mergeCell ref="A4:B4"/>
    <mergeCell ref="A5:B5"/>
    <mergeCell ref="A6:B6"/>
    <mergeCell ref="A11:B11"/>
    <mergeCell ref="A7:B7"/>
    <mergeCell ref="A8:B8"/>
    <mergeCell ref="A9:B9"/>
    <mergeCell ref="A10:B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Button 4">
              <controlPr defaultSize="0" print="0" autoFill="0" autoPict="0" macro="[0]!GenerateSalarySlips">
                <anchor moveWithCells="1" sizeWithCells="1">
                  <from>
                    <xdr:col>3</xdr:col>
                    <xdr:colOff>161925</xdr:colOff>
                    <xdr:row>1</xdr:row>
                    <xdr:rowOff>180975</xdr:rowOff>
                  </from>
                  <to>
                    <xdr:col>5</xdr:col>
                    <xdr:colOff>95250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PrintSalarySlips">
                <anchor moveWithCells="1" sizeWithCells="1">
                  <from>
                    <xdr:col>5</xdr:col>
                    <xdr:colOff>457200</xdr:colOff>
                    <xdr:row>2</xdr:row>
                    <xdr:rowOff>19050</xdr:rowOff>
                  </from>
                  <to>
                    <xdr:col>6</xdr:col>
                    <xdr:colOff>485775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4B6B0-B9D2-40AF-B41F-808DA2651637}">
  <sheetPr codeName="Sheet10"/>
  <dimension ref="A1:B145"/>
  <sheetViews>
    <sheetView topLeftCell="A89" workbookViewId="0">
      <selection activeCell="B128" sqref="B128"/>
    </sheetView>
  </sheetViews>
  <sheetFormatPr defaultRowHeight="14.25" x14ac:dyDescent="0.2"/>
  <sheetData>
    <row r="1" spans="1:2" ht="30" x14ac:dyDescent="0.2">
      <c r="A1" s="35" t="s">
        <v>36</v>
      </c>
      <c r="B1" s="36" t="s">
        <v>37</v>
      </c>
    </row>
    <row r="2" spans="1:2" x14ac:dyDescent="0.2">
      <c r="A2" s="45" t="s">
        <v>51</v>
      </c>
      <c r="B2" s="46" t="s">
        <v>52</v>
      </c>
    </row>
    <row r="3" spans="1:2" x14ac:dyDescent="0.2">
      <c r="A3" s="45" t="s">
        <v>57</v>
      </c>
      <c r="B3" s="46" t="s">
        <v>58</v>
      </c>
    </row>
    <row r="4" spans="1:2" x14ac:dyDescent="0.2">
      <c r="A4" s="45" t="s">
        <v>60</v>
      </c>
      <c r="B4" s="46" t="s">
        <v>61</v>
      </c>
    </row>
    <row r="5" spans="1:2" x14ac:dyDescent="0.2">
      <c r="A5" s="45" t="s">
        <v>63</v>
      </c>
      <c r="B5" s="46" t="s">
        <v>64</v>
      </c>
    </row>
    <row r="6" spans="1:2" x14ac:dyDescent="0.2">
      <c r="A6" s="45" t="s">
        <v>66</v>
      </c>
      <c r="B6" s="46" t="s">
        <v>67</v>
      </c>
    </row>
    <row r="7" spans="1:2" x14ac:dyDescent="0.2">
      <c r="A7" s="45" t="s">
        <v>70</v>
      </c>
      <c r="B7" s="46" t="s">
        <v>71</v>
      </c>
    </row>
    <row r="8" spans="1:2" x14ac:dyDescent="0.2">
      <c r="A8" s="45" t="s">
        <v>72</v>
      </c>
      <c r="B8" s="46" t="s">
        <v>73</v>
      </c>
    </row>
    <row r="9" spans="1:2" x14ac:dyDescent="0.2">
      <c r="A9" s="64" t="s">
        <v>155</v>
      </c>
      <c r="B9" s="46" t="s">
        <v>156</v>
      </c>
    </row>
    <row r="10" spans="1:2" x14ac:dyDescent="0.2">
      <c r="A10" s="66" t="s">
        <v>75</v>
      </c>
      <c r="B10" s="46" t="s">
        <v>76</v>
      </c>
    </row>
    <row r="11" spans="1:2" x14ac:dyDescent="0.2">
      <c r="A11" s="66" t="s">
        <v>78</v>
      </c>
      <c r="B11" s="46" t="s">
        <v>79</v>
      </c>
    </row>
    <row r="12" spans="1:2" x14ac:dyDescent="0.2">
      <c r="A12" s="66" t="s">
        <v>80</v>
      </c>
      <c r="B12" s="46" t="s">
        <v>81</v>
      </c>
    </row>
    <row r="13" spans="1:2" x14ac:dyDescent="0.2">
      <c r="A13" s="66" t="s">
        <v>83</v>
      </c>
      <c r="B13" s="46" t="s">
        <v>84</v>
      </c>
    </row>
    <row r="14" spans="1:2" x14ac:dyDescent="0.2">
      <c r="A14" s="66" t="s">
        <v>86</v>
      </c>
      <c r="B14" s="46" t="s">
        <v>87</v>
      </c>
    </row>
    <row r="15" spans="1:2" x14ac:dyDescent="0.2">
      <c r="A15" s="45" t="s">
        <v>88</v>
      </c>
      <c r="B15" s="46" t="s">
        <v>89</v>
      </c>
    </row>
    <row r="16" spans="1:2" x14ac:dyDescent="0.2">
      <c r="A16" s="45" t="s">
        <v>90</v>
      </c>
      <c r="B16" s="46" t="s">
        <v>91</v>
      </c>
    </row>
    <row r="17" spans="1:2" x14ac:dyDescent="0.2">
      <c r="A17" s="45" t="s">
        <v>92</v>
      </c>
      <c r="B17" s="46" t="s">
        <v>93</v>
      </c>
    </row>
    <row r="18" spans="1:2" x14ac:dyDescent="0.2">
      <c r="A18" s="45" t="s">
        <v>95</v>
      </c>
      <c r="B18" s="46" t="s">
        <v>96</v>
      </c>
    </row>
    <row r="19" spans="1:2" x14ac:dyDescent="0.2">
      <c r="A19" s="71" t="s">
        <v>98</v>
      </c>
      <c r="B19" s="46" t="s">
        <v>99</v>
      </c>
    </row>
    <row r="20" spans="1:2" x14ac:dyDescent="0.2">
      <c r="A20" s="45" t="s">
        <v>103</v>
      </c>
      <c r="B20" s="46" t="s">
        <v>104</v>
      </c>
    </row>
    <row r="21" spans="1:2" x14ac:dyDescent="0.2">
      <c r="A21" s="45" t="s">
        <v>105</v>
      </c>
      <c r="B21" s="46" t="s">
        <v>106</v>
      </c>
    </row>
    <row r="22" spans="1:2" x14ac:dyDescent="0.2">
      <c r="A22" s="45" t="s">
        <v>107</v>
      </c>
      <c r="B22" s="46" t="s">
        <v>108</v>
      </c>
    </row>
    <row r="23" spans="1:2" x14ac:dyDescent="0.2">
      <c r="A23" s="71" t="s">
        <v>111</v>
      </c>
      <c r="B23" s="46" t="s">
        <v>112</v>
      </c>
    </row>
    <row r="24" spans="1:2" x14ac:dyDescent="0.2">
      <c r="A24" s="71" t="s">
        <v>113</v>
      </c>
      <c r="B24" s="46" t="s">
        <v>114</v>
      </c>
    </row>
    <row r="25" spans="1:2" x14ac:dyDescent="0.2">
      <c r="A25" s="71" t="s">
        <v>115</v>
      </c>
      <c r="B25" s="46" t="s">
        <v>116</v>
      </c>
    </row>
    <row r="26" spans="1:2" x14ac:dyDescent="0.2">
      <c r="A26" s="71" t="s">
        <v>117</v>
      </c>
      <c r="B26" s="46" t="s">
        <v>118</v>
      </c>
    </row>
    <row r="27" spans="1:2" x14ac:dyDescent="0.2">
      <c r="A27" s="71" t="s">
        <v>119</v>
      </c>
      <c r="B27" s="46" t="s">
        <v>120</v>
      </c>
    </row>
    <row r="28" spans="1:2" x14ac:dyDescent="0.2">
      <c r="A28" s="71" t="s">
        <v>121</v>
      </c>
      <c r="B28" s="46" t="s">
        <v>122</v>
      </c>
    </row>
    <row r="29" spans="1:2" x14ac:dyDescent="0.2">
      <c r="A29" s="71" t="s">
        <v>124</v>
      </c>
      <c r="B29" s="46" t="s">
        <v>125</v>
      </c>
    </row>
    <row r="30" spans="1:2" x14ac:dyDescent="0.2">
      <c r="A30" s="71" t="s">
        <v>126</v>
      </c>
      <c r="B30" s="46" t="s">
        <v>127</v>
      </c>
    </row>
    <row r="31" spans="1:2" x14ac:dyDescent="0.2">
      <c r="A31" s="71" t="s">
        <v>129</v>
      </c>
      <c r="B31" s="46" t="s">
        <v>130</v>
      </c>
    </row>
    <row r="32" spans="1:2" x14ac:dyDescent="0.2">
      <c r="A32" s="71" t="s">
        <v>131</v>
      </c>
      <c r="B32" s="46" t="s">
        <v>132</v>
      </c>
    </row>
    <row r="33" spans="1:2" x14ac:dyDescent="0.2">
      <c r="A33" s="71" t="s">
        <v>134</v>
      </c>
      <c r="B33" s="46" t="s">
        <v>135</v>
      </c>
    </row>
    <row r="34" spans="1:2" x14ac:dyDescent="0.2">
      <c r="A34" s="71" t="s">
        <v>139</v>
      </c>
      <c r="B34" s="46" t="s">
        <v>140</v>
      </c>
    </row>
    <row r="35" spans="1:2" x14ac:dyDescent="0.2">
      <c r="A35" s="71" t="s">
        <v>141</v>
      </c>
      <c r="B35" s="46" t="s">
        <v>142</v>
      </c>
    </row>
    <row r="36" spans="1:2" x14ac:dyDescent="0.2">
      <c r="A36" s="71" t="s">
        <v>144</v>
      </c>
      <c r="B36" s="46" t="s">
        <v>145</v>
      </c>
    </row>
    <row r="37" spans="1:2" x14ac:dyDescent="0.2">
      <c r="A37" s="71" t="s">
        <v>146</v>
      </c>
      <c r="B37" s="46" t="s">
        <v>147</v>
      </c>
    </row>
    <row r="38" spans="1:2" x14ac:dyDescent="0.2">
      <c r="A38" s="71" t="s">
        <v>149</v>
      </c>
      <c r="B38" s="46" t="s">
        <v>150</v>
      </c>
    </row>
    <row r="39" spans="1:2" x14ac:dyDescent="0.2">
      <c r="A39" s="71" t="s">
        <v>151</v>
      </c>
      <c r="B39" s="46" t="s">
        <v>152</v>
      </c>
    </row>
    <row r="40" spans="1:2" x14ac:dyDescent="0.2">
      <c r="A40" s="71" t="s">
        <v>153</v>
      </c>
      <c r="B40" s="73" t="s">
        <v>154</v>
      </c>
    </row>
    <row r="41" spans="1:2" x14ac:dyDescent="0.2">
      <c r="A41" s="71" t="s">
        <v>158</v>
      </c>
      <c r="B41" s="46" t="s">
        <v>159</v>
      </c>
    </row>
    <row r="42" spans="1:2" x14ac:dyDescent="0.2">
      <c r="A42" s="71" t="s">
        <v>165</v>
      </c>
      <c r="B42" s="46" t="s">
        <v>166</v>
      </c>
    </row>
    <row r="43" spans="1:2" x14ac:dyDescent="0.2">
      <c r="A43" s="71" t="s">
        <v>161</v>
      </c>
      <c r="B43" s="46" t="s">
        <v>162</v>
      </c>
    </row>
    <row r="44" spans="1:2" x14ac:dyDescent="0.2">
      <c r="A44" s="71" t="s">
        <v>441</v>
      </c>
      <c r="B44" s="46" t="s">
        <v>442</v>
      </c>
    </row>
    <row r="45" spans="1:2" x14ac:dyDescent="0.2">
      <c r="A45" s="71" t="s">
        <v>168</v>
      </c>
      <c r="B45" s="46" t="s">
        <v>169</v>
      </c>
    </row>
    <row r="46" spans="1:2" x14ac:dyDescent="0.2">
      <c r="A46" s="71" t="s">
        <v>173</v>
      </c>
      <c r="B46" s="46" t="s">
        <v>174</v>
      </c>
    </row>
    <row r="47" spans="1:2" x14ac:dyDescent="0.2">
      <c r="A47" s="71" t="s">
        <v>171</v>
      </c>
      <c r="B47" s="46" t="s">
        <v>172</v>
      </c>
    </row>
    <row r="48" spans="1:2" x14ac:dyDescent="0.2">
      <c r="A48" s="71" t="s">
        <v>178</v>
      </c>
      <c r="B48" s="46" t="s">
        <v>179</v>
      </c>
    </row>
    <row r="49" spans="1:2" x14ac:dyDescent="0.2">
      <c r="A49" s="71" t="s">
        <v>181</v>
      </c>
      <c r="B49" s="46" t="s">
        <v>182</v>
      </c>
    </row>
    <row r="50" spans="1:2" x14ac:dyDescent="0.2">
      <c r="A50" s="71" t="s">
        <v>184</v>
      </c>
      <c r="B50" s="46" t="s">
        <v>185</v>
      </c>
    </row>
    <row r="51" spans="1:2" x14ac:dyDescent="0.2">
      <c r="A51" s="71" t="s">
        <v>187</v>
      </c>
      <c r="B51" s="46" t="s">
        <v>188</v>
      </c>
    </row>
    <row r="52" spans="1:2" x14ac:dyDescent="0.2">
      <c r="A52" s="71" t="s">
        <v>190</v>
      </c>
      <c r="B52" s="46" t="s">
        <v>191</v>
      </c>
    </row>
    <row r="53" spans="1:2" x14ac:dyDescent="0.2">
      <c r="A53" s="71" t="s">
        <v>192</v>
      </c>
      <c r="B53" s="46" t="s">
        <v>193</v>
      </c>
    </row>
    <row r="54" spans="1:2" x14ac:dyDescent="0.2">
      <c r="A54" s="71" t="s">
        <v>195</v>
      </c>
      <c r="B54" s="46" t="s">
        <v>196</v>
      </c>
    </row>
    <row r="55" spans="1:2" x14ac:dyDescent="0.2">
      <c r="A55" s="71" t="s">
        <v>197</v>
      </c>
      <c r="B55" s="46" t="s">
        <v>198</v>
      </c>
    </row>
    <row r="56" spans="1:2" x14ac:dyDescent="0.2">
      <c r="A56" s="71" t="s">
        <v>200</v>
      </c>
      <c r="B56" s="46" t="s">
        <v>201</v>
      </c>
    </row>
    <row r="57" spans="1:2" x14ac:dyDescent="0.2">
      <c r="A57" s="71" t="s">
        <v>202</v>
      </c>
      <c r="B57" s="46" t="s">
        <v>203</v>
      </c>
    </row>
    <row r="58" spans="1:2" x14ac:dyDescent="0.2">
      <c r="A58" s="71" t="s">
        <v>205</v>
      </c>
      <c r="B58" s="46" t="s">
        <v>206</v>
      </c>
    </row>
    <row r="59" spans="1:2" x14ac:dyDescent="0.2">
      <c r="A59" s="71" t="s">
        <v>208</v>
      </c>
      <c r="B59" s="46" t="s">
        <v>209</v>
      </c>
    </row>
    <row r="60" spans="1:2" x14ac:dyDescent="0.2">
      <c r="A60" s="71" t="s">
        <v>211</v>
      </c>
      <c r="B60" s="46" t="s">
        <v>212</v>
      </c>
    </row>
    <row r="61" spans="1:2" x14ac:dyDescent="0.2">
      <c r="A61" s="71" t="s">
        <v>214</v>
      </c>
      <c r="B61" s="46" t="s">
        <v>215</v>
      </c>
    </row>
    <row r="62" spans="1:2" x14ac:dyDescent="0.2">
      <c r="A62" s="71" t="s">
        <v>217</v>
      </c>
      <c r="B62" s="46" t="s">
        <v>218</v>
      </c>
    </row>
    <row r="63" spans="1:2" x14ac:dyDescent="0.2">
      <c r="A63" s="71" t="s">
        <v>220</v>
      </c>
      <c r="B63" s="46" t="s">
        <v>221</v>
      </c>
    </row>
    <row r="64" spans="1:2" x14ac:dyDescent="0.2">
      <c r="A64" s="71" t="s">
        <v>224</v>
      </c>
      <c r="B64" s="46" t="s">
        <v>225</v>
      </c>
    </row>
    <row r="65" spans="1:2" x14ac:dyDescent="0.2">
      <c r="A65" s="71" t="s">
        <v>227</v>
      </c>
      <c r="B65" s="46" t="s">
        <v>228</v>
      </c>
    </row>
    <row r="66" spans="1:2" x14ac:dyDescent="0.2">
      <c r="A66" s="71" t="s">
        <v>444</v>
      </c>
      <c r="B66" s="46" t="s">
        <v>445</v>
      </c>
    </row>
    <row r="67" spans="1:2" x14ac:dyDescent="0.2">
      <c r="A67" s="161" t="s">
        <v>230</v>
      </c>
      <c r="B67" s="46" t="s">
        <v>231</v>
      </c>
    </row>
    <row r="68" spans="1:2" x14ac:dyDescent="0.2">
      <c r="A68" s="161" t="s">
        <v>233</v>
      </c>
      <c r="B68" s="46" t="s">
        <v>234</v>
      </c>
    </row>
    <row r="69" spans="1:2" x14ac:dyDescent="0.2">
      <c r="A69" s="161" t="s">
        <v>235</v>
      </c>
      <c r="B69" s="46" t="s">
        <v>236</v>
      </c>
    </row>
    <row r="70" spans="1:2" x14ac:dyDescent="0.2">
      <c r="A70" s="161" t="s">
        <v>237</v>
      </c>
      <c r="B70" s="46" t="s">
        <v>238</v>
      </c>
    </row>
    <row r="71" spans="1:2" x14ac:dyDescent="0.2">
      <c r="A71" s="161" t="s">
        <v>241</v>
      </c>
      <c r="B71" s="46" t="s">
        <v>242</v>
      </c>
    </row>
    <row r="72" spans="1:2" x14ac:dyDescent="0.2">
      <c r="A72" s="161" t="s">
        <v>244</v>
      </c>
      <c r="B72" s="46" t="s">
        <v>245</v>
      </c>
    </row>
    <row r="73" spans="1:2" x14ac:dyDescent="0.2">
      <c r="A73" s="161" t="s">
        <v>246</v>
      </c>
      <c r="B73" s="46" t="s">
        <v>247</v>
      </c>
    </row>
    <row r="74" spans="1:2" x14ac:dyDescent="0.2">
      <c r="A74" s="161" t="s">
        <v>248</v>
      </c>
      <c r="B74" s="46" t="s">
        <v>249</v>
      </c>
    </row>
    <row r="75" spans="1:2" x14ac:dyDescent="0.2">
      <c r="A75" s="161" t="s">
        <v>251</v>
      </c>
      <c r="B75" s="46" t="s">
        <v>252</v>
      </c>
    </row>
    <row r="76" spans="1:2" x14ac:dyDescent="0.2">
      <c r="A76" s="161" t="s">
        <v>255</v>
      </c>
      <c r="B76" s="46" t="s">
        <v>461</v>
      </c>
    </row>
    <row r="77" spans="1:2" x14ac:dyDescent="0.2">
      <c r="A77" s="161" t="s">
        <v>255</v>
      </c>
      <c r="B77" s="46" t="s">
        <v>256</v>
      </c>
    </row>
    <row r="78" spans="1:2" x14ac:dyDescent="0.2">
      <c r="A78" s="161" t="s">
        <v>258</v>
      </c>
      <c r="B78" s="46" t="s">
        <v>259</v>
      </c>
    </row>
    <row r="79" spans="1:2" x14ac:dyDescent="0.2">
      <c r="A79" s="161" t="s">
        <v>261</v>
      </c>
      <c r="B79" s="46" t="s">
        <v>262</v>
      </c>
    </row>
    <row r="80" spans="1:2" x14ac:dyDescent="0.2">
      <c r="A80" s="161" t="s">
        <v>265</v>
      </c>
      <c r="B80" s="46" t="s">
        <v>266</v>
      </c>
    </row>
    <row r="81" spans="1:2" x14ac:dyDescent="0.2">
      <c r="A81" s="161" t="s">
        <v>267</v>
      </c>
      <c r="B81" s="46" t="s">
        <v>268</v>
      </c>
    </row>
    <row r="82" spans="1:2" x14ac:dyDescent="0.2">
      <c r="A82" s="161" t="s">
        <v>270</v>
      </c>
      <c r="B82" s="46" t="s">
        <v>271</v>
      </c>
    </row>
    <row r="83" spans="1:2" x14ac:dyDescent="0.2">
      <c r="A83" s="161" t="s">
        <v>272</v>
      </c>
      <c r="B83" s="46" t="s">
        <v>273</v>
      </c>
    </row>
    <row r="84" spans="1:2" x14ac:dyDescent="0.2">
      <c r="A84" s="161" t="s">
        <v>276</v>
      </c>
      <c r="B84" s="46" t="s">
        <v>277</v>
      </c>
    </row>
    <row r="85" spans="1:2" x14ac:dyDescent="0.2">
      <c r="A85" s="161" t="s">
        <v>279</v>
      </c>
      <c r="B85" s="46" t="s">
        <v>280</v>
      </c>
    </row>
    <row r="86" spans="1:2" x14ac:dyDescent="0.2">
      <c r="A86" s="161" t="s">
        <v>282</v>
      </c>
      <c r="B86" s="46" t="s">
        <v>283</v>
      </c>
    </row>
    <row r="87" spans="1:2" x14ac:dyDescent="0.2">
      <c r="A87" s="161" t="s">
        <v>285</v>
      </c>
      <c r="B87" s="46" t="s">
        <v>286</v>
      </c>
    </row>
    <row r="88" spans="1:2" x14ac:dyDescent="0.2">
      <c r="A88" s="161" t="s">
        <v>288</v>
      </c>
      <c r="B88" s="46" t="s">
        <v>289</v>
      </c>
    </row>
    <row r="89" spans="1:2" ht="15" x14ac:dyDescent="0.25">
      <c r="A89" s="161" t="s">
        <v>290</v>
      </c>
      <c r="B89" s="156" t="s">
        <v>291</v>
      </c>
    </row>
    <row r="90" spans="1:2" ht="15" x14ac:dyDescent="0.25">
      <c r="A90" s="161" t="s">
        <v>292</v>
      </c>
      <c r="B90" s="156" t="s">
        <v>293</v>
      </c>
    </row>
    <row r="91" spans="1:2" ht="15" x14ac:dyDescent="0.25">
      <c r="A91" s="161" t="s">
        <v>294</v>
      </c>
      <c r="B91" s="156" t="s">
        <v>295</v>
      </c>
    </row>
    <row r="92" spans="1:2" ht="15" x14ac:dyDescent="0.25">
      <c r="A92" s="161" t="s">
        <v>297</v>
      </c>
      <c r="B92" s="156" t="s">
        <v>298</v>
      </c>
    </row>
    <row r="93" spans="1:2" ht="15" x14ac:dyDescent="0.25">
      <c r="A93" s="161" t="s">
        <v>447</v>
      </c>
      <c r="B93" s="156" t="s">
        <v>448</v>
      </c>
    </row>
    <row r="94" spans="1:2" x14ac:dyDescent="0.2">
      <c r="A94" s="161" t="s">
        <v>300</v>
      </c>
      <c r="B94" s="46" t="s">
        <v>301</v>
      </c>
    </row>
    <row r="95" spans="1:2" x14ac:dyDescent="0.2">
      <c r="A95" s="161" t="s">
        <v>303</v>
      </c>
      <c r="B95" s="46" t="s">
        <v>304</v>
      </c>
    </row>
    <row r="96" spans="1:2" x14ac:dyDescent="0.2">
      <c r="A96" s="161" t="s">
        <v>305</v>
      </c>
      <c r="B96" s="46" t="s">
        <v>306</v>
      </c>
    </row>
    <row r="97" spans="1:2" x14ac:dyDescent="0.2">
      <c r="A97" s="161" t="s">
        <v>308</v>
      </c>
      <c r="B97" s="46" t="s">
        <v>309</v>
      </c>
    </row>
    <row r="98" spans="1:2" x14ac:dyDescent="0.2">
      <c r="A98" s="161" t="s">
        <v>311</v>
      </c>
      <c r="B98" s="46" t="s">
        <v>312</v>
      </c>
    </row>
    <row r="99" spans="1:2" x14ac:dyDescent="0.2">
      <c r="A99" s="161" t="s">
        <v>314</v>
      </c>
      <c r="B99" s="46" t="s">
        <v>315</v>
      </c>
    </row>
    <row r="100" spans="1:2" x14ac:dyDescent="0.2">
      <c r="A100" s="161" t="s">
        <v>318</v>
      </c>
      <c r="B100" s="46" t="s">
        <v>319</v>
      </c>
    </row>
    <row r="101" spans="1:2" x14ac:dyDescent="0.2">
      <c r="A101" s="161" t="s">
        <v>321</v>
      </c>
      <c r="B101" s="46" t="s">
        <v>322</v>
      </c>
    </row>
    <row r="102" spans="1:2" x14ac:dyDescent="0.2">
      <c r="A102" s="161" t="s">
        <v>325</v>
      </c>
      <c r="B102" s="46" t="s">
        <v>326</v>
      </c>
    </row>
    <row r="103" spans="1:2" x14ac:dyDescent="0.2">
      <c r="A103" s="161" t="s">
        <v>328</v>
      </c>
      <c r="B103" s="46" t="s">
        <v>329</v>
      </c>
    </row>
    <row r="104" spans="1:2" x14ac:dyDescent="0.2">
      <c r="A104" s="161" t="s">
        <v>331</v>
      </c>
      <c r="B104" s="46" t="s">
        <v>332</v>
      </c>
    </row>
    <row r="105" spans="1:2" x14ac:dyDescent="0.2">
      <c r="A105" s="161" t="s">
        <v>331</v>
      </c>
      <c r="B105" s="46" t="s">
        <v>334</v>
      </c>
    </row>
    <row r="106" spans="1:2" x14ac:dyDescent="0.2">
      <c r="A106" s="161" t="s">
        <v>335</v>
      </c>
      <c r="B106" s="46" t="s">
        <v>336</v>
      </c>
    </row>
    <row r="107" spans="1:2" x14ac:dyDescent="0.2">
      <c r="A107" s="161" t="s">
        <v>340</v>
      </c>
      <c r="B107" s="46" t="s">
        <v>341</v>
      </c>
    </row>
    <row r="108" spans="1:2" x14ac:dyDescent="0.2">
      <c r="A108" s="161" t="s">
        <v>343</v>
      </c>
      <c r="B108" s="46" t="s">
        <v>344</v>
      </c>
    </row>
    <row r="109" spans="1:2" x14ac:dyDescent="0.2">
      <c r="A109" s="161" t="s">
        <v>347</v>
      </c>
      <c r="B109" s="46" t="s">
        <v>348</v>
      </c>
    </row>
    <row r="110" spans="1:2" x14ac:dyDescent="0.2">
      <c r="A110" s="161" t="s">
        <v>350</v>
      </c>
      <c r="B110" s="46" t="s">
        <v>351</v>
      </c>
    </row>
    <row r="111" spans="1:2" x14ac:dyDescent="0.2">
      <c r="A111" s="161" t="s">
        <v>356</v>
      </c>
      <c r="B111" s="46" t="s">
        <v>357</v>
      </c>
    </row>
    <row r="112" spans="1:2" x14ac:dyDescent="0.2">
      <c r="A112" s="161" t="s">
        <v>359</v>
      </c>
      <c r="B112" s="46" t="s">
        <v>360</v>
      </c>
    </row>
    <row r="113" spans="1:2" x14ac:dyDescent="0.2">
      <c r="A113" s="161" t="s">
        <v>361</v>
      </c>
      <c r="B113" s="144" t="s">
        <v>362</v>
      </c>
    </row>
    <row r="114" spans="1:2" x14ac:dyDescent="0.2">
      <c r="A114" s="66" t="s">
        <v>364</v>
      </c>
      <c r="B114" s="46" t="s">
        <v>365</v>
      </c>
    </row>
    <row r="115" spans="1:2" x14ac:dyDescent="0.2">
      <c r="A115" s="66" t="s">
        <v>367</v>
      </c>
      <c r="B115" s="46" t="s">
        <v>368</v>
      </c>
    </row>
    <row r="116" spans="1:2" x14ac:dyDescent="0.2">
      <c r="A116" s="66" t="s">
        <v>369</v>
      </c>
      <c r="B116" s="46" t="s">
        <v>370</v>
      </c>
    </row>
    <row r="117" spans="1:2" x14ac:dyDescent="0.2">
      <c r="A117" s="66" t="s">
        <v>372</v>
      </c>
      <c r="B117" s="46" t="s">
        <v>373</v>
      </c>
    </row>
    <row r="118" spans="1:2" x14ac:dyDescent="0.2">
      <c r="A118" s="66" t="s">
        <v>375</v>
      </c>
      <c r="B118" s="46" t="s">
        <v>376</v>
      </c>
    </row>
    <row r="119" spans="1:2" x14ac:dyDescent="0.2">
      <c r="A119" s="66" t="s">
        <v>378</v>
      </c>
      <c r="B119" s="46" t="s">
        <v>379</v>
      </c>
    </row>
    <row r="120" spans="1:2" x14ac:dyDescent="0.2">
      <c r="A120" s="66" t="s">
        <v>381</v>
      </c>
      <c r="B120" s="46" t="s">
        <v>382</v>
      </c>
    </row>
    <row r="121" spans="1:2" x14ac:dyDescent="0.2">
      <c r="A121" s="66" t="s">
        <v>384</v>
      </c>
      <c r="B121" s="46" t="s">
        <v>385</v>
      </c>
    </row>
    <row r="122" spans="1:2" x14ac:dyDescent="0.2">
      <c r="A122" s="66" t="s">
        <v>387</v>
      </c>
      <c r="B122" s="46" t="s">
        <v>388</v>
      </c>
    </row>
    <row r="123" spans="1:2" x14ac:dyDescent="0.2">
      <c r="A123" s="66" t="s">
        <v>390</v>
      </c>
      <c r="B123" s="46" t="s">
        <v>391</v>
      </c>
    </row>
    <row r="124" spans="1:2" x14ac:dyDescent="0.2">
      <c r="A124" s="66" t="s">
        <v>419</v>
      </c>
      <c r="B124" s="46" t="s">
        <v>420</v>
      </c>
    </row>
    <row r="125" spans="1:2" x14ac:dyDescent="0.2">
      <c r="A125" s="66" t="s">
        <v>421</v>
      </c>
      <c r="B125" s="46" t="s">
        <v>422</v>
      </c>
    </row>
    <row r="126" spans="1:2" x14ac:dyDescent="0.2">
      <c r="A126" s="66" t="s">
        <v>424</v>
      </c>
      <c r="B126" s="46" t="s">
        <v>425</v>
      </c>
    </row>
    <row r="127" spans="1:2" x14ac:dyDescent="0.2">
      <c r="A127" s="66" t="s">
        <v>427</v>
      </c>
      <c r="B127" s="46" t="s">
        <v>428</v>
      </c>
    </row>
    <row r="128" spans="1:2" x14ac:dyDescent="0.2">
      <c r="A128" s="66" t="s">
        <v>430</v>
      </c>
      <c r="B128" s="46" t="s">
        <v>431</v>
      </c>
    </row>
    <row r="129" spans="1:2" x14ac:dyDescent="0.2">
      <c r="A129" s="66" t="s">
        <v>433</v>
      </c>
      <c r="B129" s="46" t="s">
        <v>434</v>
      </c>
    </row>
    <row r="130" spans="1:2" x14ac:dyDescent="0.2">
      <c r="A130" s="66" t="s">
        <v>437</v>
      </c>
      <c r="B130" s="46" t="s">
        <v>438</v>
      </c>
    </row>
    <row r="131" spans="1:2" x14ac:dyDescent="0.2">
      <c r="A131" s="66" t="s">
        <v>464</v>
      </c>
      <c r="B131" s="46" t="s">
        <v>465</v>
      </c>
    </row>
    <row r="132" spans="1:2" x14ac:dyDescent="0.2">
      <c r="A132" s="66" t="s">
        <v>467</v>
      </c>
      <c r="B132" s="46" t="s">
        <v>468</v>
      </c>
    </row>
    <row r="133" spans="1:2" x14ac:dyDescent="0.2">
      <c r="A133" s="45" t="s">
        <v>470</v>
      </c>
      <c r="B133" s="46" t="s">
        <v>471</v>
      </c>
    </row>
    <row r="134" spans="1:2" x14ac:dyDescent="0.2">
      <c r="A134" s="45" t="s">
        <v>472</v>
      </c>
      <c r="B134" s="46" t="s">
        <v>473</v>
      </c>
    </row>
    <row r="135" spans="1:2" x14ac:dyDescent="0.2">
      <c r="A135" s="45" t="s">
        <v>475</v>
      </c>
      <c r="B135" s="46" t="s">
        <v>476</v>
      </c>
    </row>
    <row r="136" spans="1:2" x14ac:dyDescent="0.2">
      <c r="A136" s="45" t="s">
        <v>477</v>
      </c>
      <c r="B136" s="46" t="s">
        <v>478</v>
      </c>
    </row>
    <row r="137" spans="1:2" x14ac:dyDescent="0.2">
      <c r="A137" s="45" t="s">
        <v>479</v>
      </c>
      <c r="B137" s="46" t="s">
        <v>480</v>
      </c>
    </row>
    <row r="138" spans="1:2" x14ac:dyDescent="0.2">
      <c r="A138" s="45" t="s">
        <v>482</v>
      </c>
      <c r="B138" s="46" t="s">
        <v>483</v>
      </c>
    </row>
    <row r="139" spans="1:2" x14ac:dyDescent="0.2">
      <c r="A139" s="45" t="s">
        <v>485</v>
      </c>
      <c r="B139" s="46" t="s">
        <v>486</v>
      </c>
    </row>
    <row r="140" spans="1:2" x14ac:dyDescent="0.2">
      <c r="A140" s="64" t="s">
        <v>488</v>
      </c>
      <c r="B140" s="46" t="s">
        <v>489</v>
      </c>
    </row>
    <row r="141" spans="1:2" x14ac:dyDescent="0.2">
      <c r="A141" s="66" t="s">
        <v>491</v>
      </c>
      <c r="B141" s="46" t="s">
        <v>492</v>
      </c>
    </row>
    <row r="142" spans="1:2" x14ac:dyDescent="0.2">
      <c r="A142" s="66" t="s">
        <v>493</v>
      </c>
      <c r="B142" s="46" t="s">
        <v>494</v>
      </c>
    </row>
    <row r="143" spans="1:2" x14ac:dyDescent="0.2">
      <c r="A143" s="66" t="s">
        <v>495</v>
      </c>
      <c r="B143" s="46" t="s">
        <v>496</v>
      </c>
    </row>
    <row r="144" spans="1:2" x14ac:dyDescent="0.2">
      <c r="A144" s="66" t="s">
        <v>498</v>
      </c>
      <c r="B144" s="46" t="s">
        <v>499</v>
      </c>
    </row>
    <row r="145" spans="1:2" x14ac:dyDescent="0.2">
      <c r="A145" s="66" t="s">
        <v>501</v>
      </c>
      <c r="B145" s="46" t="s">
        <v>502</v>
      </c>
    </row>
  </sheetData>
  <sortState xmlns:xlrd2="http://schemas.microsoft.com/office/spreadsheetml/2017/richdata2" ref="A2:B586">
    <sortCondition ref="A1:A58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97BC6-327A-4388-A7AF-0AF20971FAE6}">
  <sheetPr codeName="Sheet12"/>
  <dimension ref="A1:V170"/>
  <sheetViews>
    <sheetView topLeftCell="A87" workbookViewId="0">
      <selection activeCell="C105" sqref="C105"/>
    </sheetView>
  </sheetViews>
  <sheetFormatPr defaultRowHeight="14.25" x14ac:dyDescent="0.2"/>
  <cols>
    <col min="1" max="1" width="5.375" style="33" customWidth="1"/>
    <col min="2" max="2" width="10.875" style="33" customWidth="1"/>
    <col min="3" max="3" width="42.625" bestFit="1" customWidth="1"/>
    <col min="4" max="4" width="37.125" bestFit="1" customWidth="1"/>
    <col min="5" max="5" width="16.875" bestFit="1" customWidth="1"/>
    <col min="6" max="6" width="15.875" bestFit="1" customWidth="1"/>
    <col min="7" max="8" width="14.5" customWidth="1"/>
    <col min="9" max="9" width="14.75" bestFit="1" customWidth="1"/>
    <col min="10" max="10" width="12.125" customWidth="1"/>
    <col min="11" max="11" width="15" customWidth="1"/>
    <col min="12" max="12" width="14.125" customWidth="1"/>
    <col min="13" max="13" width="17.625" customWidth="1"/>
    <col min="14" max="14" width="21" customWidth="1"/>
    <col min="15" max="15" width="10.25" customWidth="1"/>
    <col min="16" max="16" width="8.75" customWidth="1"/>
    <col min="17" max="17" width="41.625" customWidth="1"/>
    <col min="18" max="18" width="5.25" bestFit="1" customWidth="1"/>
    <col min="19" max="19" width="13.25" style="33" customWidth="1"/>
    <col min="20" max="20" width="59.375" bestFit="1" customWidth="1"/>
    <col min="21" max="21" width="12" bestFit="1" customWidth="1"/>
    <col min="23" max="23" width="8.875" customWidth="1"/>
  </cols>
  <sheetData>
    <row r="1" spans="1:20" x14ac:dyDescent="0.2">
      <c r="B1" s="198" t="s">
        <v>517</v>
      </c>
      <c r="C1" s="198"/>
      <c r="D1" s="198"/>
      <c r="E1" s="200">
        <v>45962</v>
      </c>
    </row>
    <row r="2" spans="1:20" ht="15" thickBot="1" x14ac:dyDescent="0.25">
      <c r="B2" s="199"/>
      <c r="C2" s="199"/>
      <c r="D2" s="199"/>
      <c r="E2" s="201"/>
    </row>
    <row r="3" spans="1:20" ht="18.75" thickBot="1" x14ac:dyDescent="0.25">
      <c r="B3" s="202" t="s">
        <v>32</v>
      </c>
      <c r="C3" s="203"/>
      <c r="D3" s="204"/>
      <c r="E3" s="203" t="s">
        <v>33</v>
      </c>
      <c r="F3" s="203"/>
      <c r="G3" s="203"/>
      <c r="H3" s="203"/>
      <c r="I3" s="203"/>
      <c r="J3" s="203"/>
      <c r="K3" s="203"/>
      <c r="L3" s="203"/>
      <c r="M3" s="204"/>
      <c r="N3" s="34" t="s">
        <v>34</v>
      </c>
      <c r="T3" s="33"/>
    </row>
    <row r="4" spans="1:20" ht="45" x14ac:dyDescent="0.2">
      <c r="A4" s="35" t="s">
        <v>35</v>
      </c>
      <c r="B4" s="35" t="s">
        <v>36</v>
      </c>
      <c r="C4" s="36" t="s">
        <v>37</v>
      </c>
      <c r="D4" s="37" t="s">
        <v>38</v>
      </c>
      <c r="E4" s="38" t="s">
        <v>13</v>
      </c>
      <c r="F4" s="39" t="s">
        <v>39</v>
      </c>
      <c r="G4" s="40" t="s">
        <v>40</v>
      </c>
      <c r="H4" s="40" t="s">
        <v>41</v>
      </c>
      <c r="I4" s="39" t="s">
        <v>23</v>
      </c>
      <c r="J4" s="39" t="s">
        <v>24</v>
      </c>
      <c r="K4" s="39" t="s">
        <v>42</v>
      </c>
      <c r="L4" s="39" t="s">
        <v>25</v>
      </c>
      <c r="M4" s="37" t="s">
        <v>43</v>
      </c>
      <c r="N4" s="41" t="s">
        <v>44</v>
      </c>
      <c r="O4" s="42" t="s">
        <v>45</v>
      </c>
      <c r="P4" s="43" t="s">
        <v>46</v>
      </c>
      <c r="Q4" s="43" t="s">
        <v>47</v>
      </c>
      <c r="R4" s="43" t="s">
        <v>48</v>
      </c>
      <c r="S4" s="43" t="s">
        <v>49</v>
      </c>
      <c r="T4" s="44" t="s">
        <v>50</v>
      </c>
    </row>
    <row r="5" spans="1:20" x14ac:dyDescent="0.2">
      <c r="A5" s="45">
        <v>1</v>
      </c>
      <c r="B5" s="45" t="s">
        <v>51</v>
      </c>
      <c r="C5" s="46" t="s">
        <v>52</v>
      </c>
      <c r="D5" s="158" t="s">
        <v>416</v>
      </c>
      <c r="E5" s="48">
        <f>745+75</f>
        <v>820</v>
      </c>
      <c r="F5" s="49">
        <f>E5+149.1</f>
        <v>969.1</v>
      </c>
      <c r="G5" s="50">
        <f>745*0.075</f>
        <v>55.875</v>
      </c>
      <c r="H5" s="50">
        <f>745*0.1425</f>
        <v>106.16249999999999</v>
      </c>
      <c r="I5" s="51">
        <f t="shared" ref="I5:I68" si="0">(IF((O5="No"),(IF((($F5*12)-9000)&lt;0,0,(IF((($F5*12)-9000)&gt;20000,(5000*5%+5000*10%+5000*15%+5000*20%+((($F5*12)-9000)-20000)*25%),IF((($F5*12)-9000)&gt;15000,(5000*5%+5000*10%+5000*15%+((($F5*12)-9000)-15000)*20%),IF((($F5*12)-9000)&gt;10000,(5000*5%+5000*10%+((($F5*12)-9000)-10000)*15%),IF((($F5*12)-9000)&gt;5000,(5000*5%+((($F5*12)-9000)-5000)*10%),IF((($F5*12)-9000)&lt;5000,(($F5*12)-9000)*5%)))))))),((IF((($F5*12)-18000)&lt;0,0,(IF((($F5*12)-18000)&gt;20000,(5000*5%+5000*10%+5000*15%+5000*20%+((($F5*12)-18000)-20000)*25%),IF((($F5*12)-18000)&gt;15000,(5000*5%+5000*10%+5000*15%+((($F5*12)-18000)-15000)*20%),IF((($F5*12)-18000)&gt;10000,(5000*5%+5000*10%+((($F5*12)-18000)-10000)*15%),IF((($F5*12)-18000)&gt;5000,(5000*5%+((($F5*12)-18000)-5000)*10%),IF((($F5*12)-18000)&lt;5000,(($F5*12)-18000)*5%))))))))))/12)</f>
        <v>10.955000000000004</v>
      </c>
      <c r="J5" s="52"/>
      <c r="K5" s="52">
        <v>0</v>
      </c>
      <c r="L5" s="53"/>
      <c r="M5" s="54">
        <f>(F5+K5)-SUM(G5,I5,J5,L5)</f>
        <v>902.27</v>
      </c>
      <c r="N5" s="55">
        <f t="shared" ref="N5:N68" si="1">F5+H5</f>
        <v>1075.2625</v>
      </c>
      <c r="O5" s="33" t="s">
        <v>54</v>
      </c>
      <c r="P5" s="56" t="s">
        <v>51</v>
      </c>
      <c r="Q5" s="56" t="s">
        <v>52</v>
      </c>
      <c r="R5" s="57" t="s">
        <v>55</v>
      </c>
      <c r="S5" s="58">
        <v>329111</v>
      </c>
      <c r="T5" s="56" t="s">
        <v>56</v>
      </c>
    </row>
    <row r="6" spans="1:20" x14ac:dyDescent="0.2">
      <c r="A6" s="45">
        <v>2</v>
      </c>
      <c r="B6" s="45" t="s">
        <v>57</v>
      </c>
      <c r="C6" s="46" t="s">
        <v>58</v>
      </c>
      <c r="D6" s="158" t="s">
        <v>53</v>
      </c>
      <c r="E6" s="48">
        <f>1583+475</f>
        <v>2058</v>
      </c>
      <c r="F6" s="49">
        <f>E6+720.3</f>
        <v>2778.3</v>
      </c>
      <c r="G6" s="50">
        <f>1583*0.075</f>
        <v>118.72499999999999</v>
      </c>
      <c r="H6" s="50">
        <f>1583*0.1425</f>
        <v>225.57749999999999</v>
      </c>
      <c r="I6" s="51">
        <f t="shared" si="0"/>
        <v>130.66000000000011</v>
      </c>
      <c r="J6" s="52"/>
      <c r="K6" s="52">
        <v>0</v>
      </c>
      <c r="L6" s="53"/>
      <c r="M6" s="54">
        <f t="shared" ref="M6:M69" si="2">(F6+K6)-SUM(G6,I6,J6,L6)</f>
        <v>2528.915</v>
      </c>
      <c r="N6" s="55">
        <f t="shared" si="1"/>
        <v>3003.8775000000001</v>
      </c>
      <c r="O6" s="33" t="s">
        <v>69</v>
      </c>
      <c r="P6" s="60" t="s">
        <v>57</v>
      </c>
      <c r="Q6" s="60" t="s">
        <v>58</v>
      </c>
      <c r="R6" s="61" t="s">
        <v>59</v>
      </c>
      <c r="S6" s="62">
        <v>329111</v>
      </c>
      <c r="T6" s="60" t="s">
        <v>56</v>
      </c>
    </row>
    <row r="7" spans="1:20" x14ac:dyDescent="0.2">
      <c r="A7" s="45">
        <v>3</v>
      </c>
      <c r="B7" s="45" t="s">
        <v>60</v>
      </c>
      <c r="C7" s="46" t="s">
        <v>61</v>
      </c>
      <c r="D7" s="158" t="s">
        <v>62</v>
      </c>
      <c r="E7" s="48">
        <f>2755+111</f>
        <v>2866</v>
      </c>
      <c r="F7" s="49">
        <f>E7+1101.92</f>
        <v>3967.92</v>
      </c>
      <c r="G7" s="50">
        <f>2755*0.075</f>
        <v>206.625</v>
      </c>
      <c r="H7" s="50">
        <f>2755*0.1425</f>
        <v>392.58749999999998</v>
      </c>
      <c r="I7" s="51">
        <f t="shared" si="0"/>
        <v>596.14666666666665</v>
      </c>
      <c r="J7" s="52"/>
      <c r="K7" s="52">
        <v>0</v>
      </c>
      <c r="L7" s="53"/>
      <c r="M7" s="54">
        <f t="shared" si="2"/>
        <v>3165.1483333333335</v>
      </c>
      <c r="N7" s="55">
        <f t="shared" si="1"/>
        <v>4360.5074999999997</v>
      </c>
      <c r="O7" s="33" t="s">
        <v>54</v>
      </c>
      <c r="P7" s="60" t="s">
        <v>60</v>
      </c>
      <c r="Q7" s="60" t="s">
        <v>61</v>
      </c>
      <c r="R7" s="61" t="s">
        <v>59</v>
      </c>
      <c r="S7" s="62">
        <v>323111</v>
      </c>
      <c r="T7" s="60" t="s">
        <v>56</v>
      </c>
    </row>
    <row r="8" spans="1:20" x14ac:dyDescent="0.2">
      <c r="A8" s="45">
        <v>4</v>
      </c>
      <c r="B8" s="45" t="s">
        <v>63</v>
      </c>
      <c r="C8" s="46" t="s">
        <v>64</v>
      </c>
      <c r="D8" s="158" t="s">
        <v>65</v>
      </c>
      <c r="E8" s="48">
        <f>900+74</f>
        <v>974</v>
      </c>
      <c r="F8" s="49">
        <f>E8+541.02</f>
        <v>1515.02</v>
      </c>
      <c r="G8" s="50">
        <f>900*0.075</f>
        <v>67.5</v>
      </c>
      <c r="H8" s="50">
        <f>900*0.1425</f>
        <v>128.25</v>
      </c>
      <c r="I8" s="51">
        <f t="shared" si="0"/>
        <v>55.66866666666666</v>
      </c>
      <c r="J8" s="52"/>
      <c r="K8" s="52">
        <v>0</v>
      </c>
      <c r="L8" s="53"/>
      <c r="M8" s="54">
        <f t="shared" si="2"/>
        <v>1391.8513333333333</v>
      </c>
      <c r="N8" s="55">
        <f t="shared" si="1"/>
        <v>1643.27</v>
      </c>
      <c r="O8" s="33" t="s">
        <v>54</v>
      </c>
      <c r="P8" s="60" t="s">
        <v>63</v>
      </c>
      <c r="Q8" s="60" t="s">
        <v>64</v>
      </c>
      <c r="R8" s="61" t="s">
        <v>59</v>
      </c>
      <c r="S8" s="62">
        <v>323111</v>
      </c>
      <c r="T8" s="60" t="s">
        <v>56</v>
      </c>
    </row>
    <row r="9" spans="1:20" x14ac:dyDescent="0.2">
      <c r="A9" s="45">
        <v>5</v>
      </c>
      <c r="B9" s="45" t="s">
        <v>66</v>
      </c>
      <c r="C9" s="46" t="s">
        <v>67</v>
      </c>
      <c r="D9" s="158" t="s">
        <v>68</v>
      </c>
      <c r="E9" s="48">
        <f>2428+73</f>
        <v>2501</v>
      </c>
      <c r="F9" s="49">
        <f>E9+728.46</f>
        <v>3229.46</v>
      </c>
      <c r="G9" s="50">
        <f>2428*0.075</f>
        <v>182.1</v>
      </c>
      <c r="H9" s="50">
        <f>2428*0.1425</f>
        <v>345.98999999999995</v>
      </c>
      <c r="I9" s="51">
        <f t="shared" si="0"/>
        <v>224.03166666666675</v>
      </c>
      <c r="J9" s="52"/>
      <c r="K9" s="52">
        <v>0</v>
      </c>
      <c r="L9" s="53"/>
      <c r="M9" s="54">
        <f t="shared" si="2"/>
        <v>2823.3283333333334</v>
      </c>
      <c r="N9" s="55">
        <f t="shared" si="1"/>
        <v>3575.45</v>
      </c>
      <c r="O9" s="33" t="s">
        <v>69</v>
      </c>
      <c r="P9" s="60" t="s">
        <v>66</v>
      </c>
      <c r="Q9" s="60" t="s">
        <v>67</v>
      </c>
      <c r="R9" s="61" t="s">
        <v>59</v>
      </c>
      <c r="S9" s="62">
        <v>329111</v>
      </c>
      <c r="T9" s="60" t="s">
        <v>56</v>
      </c>
    </row>
    <row r="10" spans="1:20" x14ac:dyDescent="0.2">
      <c r="A10" s="45">
        <v>6</v>
      </c>
      <c r="B10" s="45" t="s">
        <v>70</v>
      </c>
      <c r="C10" s="46" t="s">
        <v>71</v>
      </c>
      <c r="D10" s="158" t="s">
        <v>65</v>
      </c>
      <c r="E10" s="170">
        <f>1165+58</f>
        <v>1223</v>
      </c>
      <c r="F10" s="171">
        <f>(E10/30*20)+465.76</f>
        <v>1281.0933333333332</v>
      </c>
      <c r="G10" s="50">
        <f>1165*0.075</f>
        <v>87.375</v>
      </c>
      <c r="H10" s="50">
        <f>1165*0.1425</f>
        <v>166.01249999999999</v>
      </c>
      <c r="I10" s="51">
        <f t="shared" si="0"/>
        <v>32.275999999999989</v>
      </c>
      <c r="J10" s="52"/>
      <c r="K10" s="52">
        <v>0</v>
      </c>
      <c r="L10" s="53"/>
      <c r="M10" s="54">
        <f t="shared" si="2"/>
        <v>1161.4423333333332</v>
      </c>
      <c r="N10" s="55">
        <f t="shared" si="1"/>
        <v>1447.1058333333333</v>
      </c>
      <c r="O10" s="33" t="s">
        <v>54</v>
      </c>
      <c r="P10" s="60" t="s">
        <v>70</v>
      </c>
      <c r="Q10" s="60" t="s">
        <v>71</v>
      </c>
      <c r="R10" s="61" t="s">
        <v>59</v>
      </c>
      <c r="S10" s="62">
        <v>323111</v>
      </c>
      <c r="T10" s="60" t="s">
        <v>56</v>
      </c>
    </row>
    <row r="11" spans="1:20" x14ac:dyDescent="0.2">
      <c r="A11" s="45">
        <v>6</v>
      </c>
      <c r="B11" s="45" t="s">
        <v>72</v>
      </c>
      <c r="C11" s="46" t="s">
        <v>73</v>
      </c>
      <c r="D11" s="158" t="s">
        <v>74</v>
      </c>
      <c r="E11" s="48">
        <f>2540+78</f>
        <v>2618</v>
      </c>
      <c r="F11" s="49">
        <f t="shared" ref="F11" si="3">E11</f>
        <v>2618</v>
      </c>
      <c r="G11" s="50">
        <f>2540*0.075</f>
        <v>190.5</v>
      </c>
      <c r="H11" s="50">
        <f>2540*0.1425</f>
        <v>361.95</v>
      </c>
      <c r="I11" s="51">
        <f t="shared" si="0"/>
        <v>105.2</v>
      </c>
      <c r="J11" s="52"/>
      <c r="K11" s="52">
        <v>0</v>
      </c>
      <c r="L11" s="53"/>
      <c r="M11" s="54">
        <f t="shared" si="2"/>
        <v>2322.3000000000002</v>
      </c>
      <c r="N11" s="55">
        <f t="shared" si="1"/>
        <v>2979.95</v>
      </c>
      <c r="O11" s="33" t="s">
        <v>69</v>
      </c>
      <c r="P11" s="60" t="s">
        <v>72</v>
      </c>
      <c r="Q11" s="60" t="s">
        <v>73</v>
      </c>
      <c r="R11" s="61" t="s">
        <v>59</v>
      </c>
      <c r="S11" s="62">
        <v>323111</v>
      </c>
      <c r="T11" s="60" t="s">
        <v>56</v>
      </c>
    </row>
    <row r="12" spans="1:20" x14ac:dyDescent="0.2">
      <c r="A12" s="45">
        <v>7</v>
      </c>
      <c r="B12" s="64" t="s">
        <v>75</v>
      </c>
      <c r="C12" s="46" t="s">
        <v>76</v>
      </c>
      <c r="D12" s="158" t="s">
        <v>77</v>
      </c>
      <c r="E12" s="65">
        <f>2273+68</f>
        <v>2341</v>
      </c>
      <c r="F12" s="50">
        <f>E12+908.97</f>
        <v>3249.9700000000003</v>
      </c>
      <c r="G12" s="50">
        <f>2273*0.075</f>
        <v>170.47499999999999</v>
      </c>
      <c r="H12" s="52">
        <f>2273*0.1425</f>
        <v>323.90249999999997</v>
      </c>
      <c r="I12" s="51">
        <f t="shared" si="0"/>
        <v>229.15916666666666</v>
      </c>
      <c r="J12" s="52"/>
      <c r="K12" s="52">
        <v>0</v>
      </c>
      <c r="L12" s="53"/>
      <c r="M12" s="54">
        <f t="shared" si="2"/>
        <v>2850.3358333333335</v>
      </c>
      <c r="N12" s="55">
        <f t="shared" si="1"/>
        <v>3573.8725000000004</v>
      </c>
      <c r="O12" s="33" t="s">
        <v>69</v>
      </c>
      <c r="P12" s="60" t="s">
        <v>75</v>
      </c>
      <c r="Q12" s="60" t="s">
        <v>76</v>
      </c>
      <c r="R12" s="61" t="s">
        <v>59</v>
      </c>
      <c r="S12" s="62">
        <v>323111</v>
      </c>
      <c r="T12" s="60" t="s">
        <v>56</v>
      </c>
    </row>
    <row r="13" spans="1:20" x14ac:dyDescent="0.2">
      <c r="A13" s="45">
        <v>8</v>
      </c>
      <c r="B13" s="66" t="s">
        <v>78</v>
      </c>
      <c r="C13" s="46" t="s">
        <v>79</v>
      </c>
      <c r="D13" s="158" t="s">
        <v>74</v>
      </c>
      <c r="E13" s="68">
        <v>2350</v>
      </c>
      <c r="F13" s="52">
        <f>2350+937.35</f>
        <v>3287.35</v>
      </c>
      <c r="G13" s="50">
        <f t="shared" ref="G13" si="4">E13*0.075</f>
        <v>176.25</v>
      </c>
      <c r="H13" s="50">
        <f t="shared" ref="H13" si="5">E13*0.1425</f>
        <v>334.87499999999994</v>
      </c>
      <c r="I13" s="51">
        <f t="shared" si="0"/>
        <v>426.00416666666661</v>
      </c>
      <c r="J13" s="52"/>
      <c r="K13" s="52">
        <v>0</v>
      </c>
      <c r="L13" s="53"/>
      <c r="M13" s="54">
        <f t="shared" si="2"/>
        <v>2685.0958333333333</v>
      </c>
      <c r="N13" s="55">
        <f t="shared" si="1"/>
        <v>3622.2249999999999</v>
      </c>
      <c r="O13" s="33" t="s">
        <v>54</v>
      </c>
      <c r="P13" s="60" t="s">
        <v>78</v>
      </c>
      <c r="Q13" s="60" t="s">
        <v>79</v>
      </c>
      <c r="R13" s="61" t="s">
        <v>59</v>
      </c>
      <c r="S13" s="62">
        <v>323111</v>
      </c>
      <c r="T13" s="60" t="s">
        <v>56</v>
      </c>
    </row>
    <row r="14" spans="1:20" x14ac:dyDescent="0.2">
      <c r="A14" s="45">
        <v>9</v>
      </c>
      <c r="B14" s="66" t="s">
        <v>80</v>
      </c>
      <c r="C14" s="46" t="s">
        <v>81</v>
      </c>
      <c r="D14" s="158" t="s">
        <v>82</v>
      </c>
      <c r="E14" s="68">
        <f>710+58</f>
        <v>768</v>
      </c>
      <c r="F14" s="52">
        <f>E14+213.06</f>
        <v>981.06</v>
      </c>
      <c r="G14" s="50">
        <f>710*0.075</f>
        <v>53.25</v>
      </c>
      <c r="H14" s="50">
        <f>710*0.1425</f>
        <v>101.175</v>
      </c>
      <c r="I14" s="51">
        <f t="shared" si="0"/>
        <v>11.552999999999997</v>
      </c>
      <c r="J14" s="52"/>
      <c r="K14" s="52">
        <v>0</v>
      </c>
      <c r="L14" s="53"/>
      <c r="M14" s="54">
        <f t="shared" si="2"/>
        <v>916.25699999999995</v>
      </c>
      <c r="N14" s="55">
        <f t="shared" si="1"/>
        <v>1082.2349999999999</v>
      </c>
      <c r="O14" s="33" t="s">
        <v>54</v>
      </c>
      <c r="P14" s="60" t="s">
        <v>80</v>
      </c>
      <c r="Q14" s="60" t="s">
        <v>81</v>
      </c>
      <c r="R14" s="61" t="s">
        <v>59</v>
      </c>
      <c r="S14" s="62">
        <v>329111</v>
      </c>
      <c r="T14" s="60" t="s">
        <v>56</v>
      </c>
    </row>
    <row r="15" spans="1:20" x14ac:dyDescent="0.2">
      <c r="A15" s="45">
        <v>10</v>
      </c>
      <c r="B15" s="66" t="s">
        <v>83</v>
      </c>
      <c r="C15" s="46" t="s">
        <v>84</v>
      </c>
      <c r="D15" s="158" t="s">
        <v>85</v>
      </c>
      <c r="E15" s="68">
        <f>1535+47</f>
        <v>1582</v>
      </c>
      <c r="F15" s="52">
        <f>E15+307.1</f>
        <v>1889.1</v>
      </c>
      <c r="G15" s="50">
        <f>1535*0.075</f>
        <v>115.125</v>
      </c>
      <c r="H15" s="50">
        <f>1535*0.1425</f>
        <v>218.73749999999998</v>
      </c>
      <c r="I15" s="51">
        <f t="shared" si="0"/>
        <v>108.36499999999997</v>
      </c>
      <c r="J15" s="52"/>
      <c r="K15" s="52">
        <v>0</v>
      </c>
      <c r="L15" s="53"/>
      <c r="M15" s="54">
        <f t="shared" si="2"/>
        <v>1665.61</v>
      </c>
      <c r="N15" s="55">
        <f t="shared" si="1"/>
        <v>2107.8375000000001</v>
      </c>
      <c r="O15" s="33" t="s">
        <v>54</v>
      </c>
      <c r="P15" s="60" t="s">
        <v>83</v>
      </c>
      <c r="Q15" s="60" t="s">
        <v>84</v>
      </c>
      <c r="R15" s="61" t="s">
        <v>55</v>
      </c>
      <c r="S15" s="62">
        <v>323111</v>
      </c>
      <c r="T15" s="60" t="s">
        <v>56</v>
      </c>
    </row>
    <row r="16" spans="1:20" x14ac:dyDescent="0.2">
      <c r="A16" s="45">
        <v>11</v>
      </c>
      <c r="B16" s="66" t="s">
        <v>86</v>
      </c>
      <c r="C16" s="46" t="s">
        <v>87</v>
      </c>
      <c r="D16" s="158" t="s">
        <v>65</v>
      </c>
      <c r="E16" s="69">
        <f>1235+62</f>
        <v>1297</v>
      </c>
      <c r="F16" s="49">
        <f>E16+741.24</f>
        <v>2038.24</v>
      </c>
      <c r="G16" s="50">
        <f>1235*0.075</f>
        <v>92.625</v>
      </c>
      <c r="H16" s="50">
        <f>1235*0.1425</f>
        <v>175.98749999999998</v>
      </c>
      <c r="I16" s="51">
        <f t="shared" si="0"/>
        <v>132.64800000000002</v>
      </c>
      <c r="J16" s="52"/>
      <c r="K16" s="52">
        <v>0</v>
      </c>
      <c r="L16" s="53"/>
      <c r="M16" s="54">
        <f t="shared" si="2"/>
        <v>1812.9670000000001</v>
      </c>
      <c r="N16" s="55">
        <f t="shared" si="1"/>
        <v>2214.2275</v>
      </c>
      <c r="O16" s="33" t="s">
        <v>54</v>
      </c>
      <c r="P16" s="60" t="s">
        <v>86</v>
      </c>
      <c r="Q16" s="60" t="s">
        <v>87</v>
      </c>
      <c r="R16" s="61" t="s">
        <v>55</v>
      </c>
      <c r="S16" s="62">
        <v>323111</v>
      </c>
      <c r="T16" s="60" t="s">
        <v>56</v>
      </c>
    </row>
    <row r="17" spans="1:20" x14ac:dyDescent="0.2">
      <c r="A17" s="45">
        <v>12</v>
      </c>
      <c r="B17" s="66" t="s">
        <v>88</v>
      </c>
      <c r="C17" s="46" t="s">
        <v>89</v>
      </c>
      <c r="D17" s="158" t="s">
        <v>82</v>
      </c>
      <c r="E17" s="69">
        <f>1000+81</f>
        <v>1081</v>
      </c>
      <c r="F17" s="49">
        <f>E17+350.39</f>
        <v>1431.3899999999999</v>
      </c>
      <c r="G17" s="50">
        <f>1000*0.075</f>
        <v>75</v>
      </c>
      <c r="H17" s="50">
        <f>1000*0.1425</f>
        <v>142.5</v>
      </c>
      <c r="I17" s="51">
        <f t="shared" si="0"/>
        <v>47.305666666666674</v>
      </c>
      <c r="J17" s="52"/>
      <c r="K17" s="52">
        <v>0</v>
      </c>
      <c r="L17" s="53"/>
      <c r="M17" s="54">
        <f t="shared" si="2"/>
        <v>1309.0843333333332</v>
      </c>
      <c r="N17" s="55">
        <f t="shared" si="1"/>
        <v>1573.8899999999999</v>
      </c>
      <c r="O17" s="33" t="s">
        <v>54</v>
      </c>
      <c r="P17" s="60" t="s">
        <v>88</v>
      </c>
      <c r="Q17" s="60" t="s">
        <v>89</v>
      </c>
      <c r="R17" s="61" t="s">
        <v>55</v>
      </c>
      <c r="S17" s="62">
        <v>329111</v>
      </c>
      <c r="T17" s="60" t="s">
        <v>56</v>
      </c>
    </row>
    <row r="18" spans="1:20" x14ac:dyDescent="0.2">
      <c r="A18" s="45">
        <v>13</v>
      </c>
      <c r="B18" s="45" t="s">
        <v>90</v>
      </c>
      <c r="C18" s="46" t="s">
        <v>91</v>
      </c>
      <c r="D18" s="158" t="s">
        <v>53</v>
      </c>
      <c r="E18" s="69">
        <f>1470+44</f>
        <v>1514</v>
      </c>
      <c r="F18" s="49">
        <f>E18+440.91</f>
        <v>1954.91</v>
      </c>
      <c r="G18" s="50">
        <f>1470*0.075</f>
        <v>110.25</v>
      </c>
      <c r="H18" s="50">
        <f>1470*0.1425</f>
        <v>209.47499999999999</v>
      </c>
      <c r="I18" s="51">
        <f t="shared" si="0"/>
        <v>118.23650000000002</v>
      </c>
      <c r="J18" s="52"/>
      <c r="K18" s="52">
        <v>0</v>
      </c>
      <c r="L18" s="53"/>
      <c r="M18" s="54">
        <f t="shared" si="2"/>
        <v>1726.4235000000001</v>
      </c>
      <c r="N18" s="55">
        <f t="shared" si="1"/>
        <v>2164.3850000000002</v>
      </c>
      <c r="O18" s="33" t="s">
        <v>54</v>
      </c>
      <c r="P18" s="60" t="s">
        <v>90</v>
      </c>
      <c r="Q18" s="60" t="s">
        <v>91</v>
      </c>
      <c r="R18" s="61" t="s">
        <v>55</v>
      </c>
      <c r="S18" s="62">
        <v>329111</v>
      </c>
      <c r="T18" s="60" t="s">
        <v>56</v>
      </c>
    </row>
    <row r="19" spans="1:20" x14ac:dyDescent="0.2">
      <c r="A19" s="45">
        <v>14</v>
      </c>
      <c r="B19" s="45" t="s">
        <v>92</v>
      </c>
      <c r="C19" s="46" t="s">
        <v>93</v>
      </c>
      <c r="D19" s="158" t="s">
        <v>94</v>
      </c>
      <c r="E19" s="69">
        <f>2840+114</f>
        <v>2954</v>
      </c>
      <c r="F19" s="49">
        <f>E19</f>
        <v>2954</v>
      </c>
      <c r="G19" s="50">
        <f>2840*0.075</f>
        <v>213</v>
      </c>
      <c r="H19" s="50">
        <f>2840*0.1425</f>
        <v>404.7</v>
      </c>
      <c r="I19" s="51">
        <f t="shared" si="0"/>
        <v>165.79999999999998</v>
      </c>
      <c r="J19" s="52"/>
      <c r="K19" s="52">
        <v>0</v>
      </c>
      <c r="L19" s="53"/>
      <c r="M19" s="54">
        <f t="shared" si="2"/>
        <v>2575.1999999999998</v>
      </c>
      <c r="N19" s="55">
        <f t="shared" si="1"/>
        <v>3358.7</v>
      </c>
      <c r="O19" s="33" t="s">
        <v>69</v>
      </c>
      <c r="P19" s="60" t="s">
        <v>92</v>
      </c>
      <c r="Q19" s="60" t="s">
        <v>93</v>
      </c>
      <c r="R19" s="61" t="s">
        <v>55</v>
      </c>
      <c r="S19" s="62">
        <v>329111</v>
      </c>
      <c r="T19" s="60" t="s">
        <v>56</v>
      </c>
    </row>
    <row r="20" spans="1:20" x14ac:dyDescent="0.2">
      <c r="A20" s="45">
        <v>15</v>
      </c>
      <c r="B20" s="45" t="s">
        <v>98</v>
      </c>
      <c r="C20" s="46" t="s">
        <v>99</v>
      </c>
      <c r="D20" s="158" t="s">
        <v>100</v>
      </c>
      <c r="E20" s="68">
        <f>1675+50</f>
        <v>1725</v>
      </c>
      <c r="F20" s="52">
        <f>E20+502.5</f>
        <v>2227.5</v>
      </c>
      <c r="G20" s="50">
        <f>1675*0.075</f>
        <v>125.625</v>
      </c>
      <c r="H20" s="50">
        <f>1675*0.1425</f>
        <v>238.68749999999997</v>
      </c>
      <c r="I20" s="51">
        <f t="shared" si="0"/>
        <v>51.916666666666664</v>
      </c>
      <c r="J20" s="52"/>
      <c r="K20" s="52">
        <v>0</v>
      </c>
      <c r="L20" s="53"/>
      <c r="M20" s="54">
        <f t="shared" si="2"/>
        <v>2049.9583333333335</v>
      </c>
      <c r="N20" s="55">
        <f t="shared" si="1"/>
        <v>2466.1875</v>
      </c>
      <c r="O20" s="33" t="s">
        <v>69</v>
      </c>
      <c r="P20" s="60" t="s">
        <v>98</v>
      </c>
      <c r="Q20" s="60" t="s">
        <v>99</v>
      </c>
      <c r="R20" s="61" t="s">
        <v>101</v>
      </c>
      <c r="S20" s="62">
        <v>349311</v>
      </c>
      <c r="T20" s="60" t="s">
        <v>102</v>
      </c>
    </row>
    <row r="21" spans="1:20" x14ac:dyDescent="0.2">
      <c r="A21" s="45">
        <v>16</v>
      </c>
      <c r="B21" s="45" t="s">
        <v>103</v>
      </c>
      <c r="C21" s="46" t="s">
        <v>104</v>
      </c>
      <c r="D21" s="158" t="s">
        <v>82</v>
      </c>
      <c r="E21" s="68">
        <f>1012+81</f>
        <v>1093</v>
      </c>
      <c r="F21" s="52">
        <f>E21+253.06</f>
        <v>1346.06</v>
      </c>
      <c r="G21" s="50">
        <f>1012*0.075</f>
        <v>75.899999999999991</v>
      </c>
      <c r="H21" s="50">
        <f>1012*0.1425</f>
        <v>144.20999999999998</v>
      </c>
      <c r="I21" s="51">
        <f t="shared" si="0"/>
        <v>38.772666666666659</v>
      </c>
      <c r="J21" s="52"/>
      <c r="K21" s="52">
        <v>0</v>
      </c>
      <c r="L21" s="53"/>
      <c r="M21" s="54">
        <f t="shared" si="2"/>
        <v>1231.3873333333333</v>
      </c>
      <c r="N21" s="55">
        <f t="shared" si="1"/>
        <v>1490.27</v>
      </c>
      <c r="O21" s="33" t="s">
        <v>54</v>
      </c>
      <c r="P21" s="60" t="s">
        <v>103</v>
      </c>
      <c r="Q21" s="60" t="s">
        <v>104</v>
      </c>
      <c r="R21" s="61" t="s">
        <v>59</v>
      </c>
      <c r="S21" s="62">
        <v>329111</v>
      </c>
      <c r="T21" s="60" t="s">
        <v>56</v>
      </c>
    </row>
    <row r="22" spans="1:20" x14ac:dyDescent="0.2">
      <c r="A22" s="45">
        <v>17</v>
      </c>
      <c r="B22" s="71" t="s">
        <v>107</v>
      </c>
      <c r="C22" s="46" t="s">
        <v>108</v>
      </c>
      <c r="D22" s="158" t="s">
        <v>109</v>
      </c>
      <c r="E22" s="68">
        <f>2500+121</f>
        <v>2621</v>
      </c>
      <c r="F22" s="52">
        <f>E22</f>
        <v>2621</v>
      </c>
      <c r="G22" s="50">
        <f>2500*0.075</f>
        <v>187.5</v>
      </c>
      <c r="H22" s="50">
        <f>2500*0.1425</f>
        <v>356.24999999999994</v>
      </c>
      <c r="I22" s="51">
        <f t="shared" si="0"/>
        <v>105.64999999999999</v>
      </c>
      <c r="J22" s="52"/>
      <c r="K22" s="52">
        <v>0</v>
      </c>
      <c r="L22" s="53"/>
      <c r="M22" s="54">
        <f t="shared" si="2"/>
        <v>2327.85</v>
      </c>
      <c r="N22" s="55">
        <f t="shared" si="1"/>
        <v>2977.25</v>
      </c>
      <c r="O22" s="33" t="s">
        <v>69</v>
      </c>
      <c r="P22" s="60" t="s">
        <v>107</v>
      </c>
      <c r="Q22" s="60" t="s">
        <v>108</v>
      </c>
      <c r="R22" s="61" t="s">
        <v>59</v>
      </c>
      <c r="S22" s="62">
        <v>122111</v>
      </c>
      <c r="T22" s="60" t="s">
        <v>110</v>
      </c>
    </row>
    <row r="23" spans="1:20" x14ac:dyDescent="0.2">
      <c r="A23" s="45">
        <v>18</v>
      </c>
      <c r="B23" s="45" t="s">
        <v>111</v>
      </c>
      <c r="C23" s="46" t="s">
        <v>112</v>
      </c>
      <c r="D23" s="158" t="s">
        <v>82</v>
      </c>
      <c r="E23" s="68">
        <f>1012+51</f>
        <v>1063</v>
      </c>
      <c r="F23" s="52">
        <f>E23+404.89</f>
        <v>1467.8899999999999</v>
      </c>
      <c r="G23" s="50">
        <f>1012*0.075</f>
        <v>75.899999999999991</v>
      </c>
      <c r="H23" s="50">
        <f>1012*0.1425</f>
        <v>144.20999999999998</v>
      </c>
      <c r="I23" s="51">
        <f t="shared" si="0"/>
        <v>50.955666666666673</v>
      </c>
      <c r="J23" s="52"/>
      <c r="K23" s="52">
        <v>0</v>
      </c>
      <c r="L23" s="53"/>
      <c r="M23" s="54">
        <f t="shared" si="2"/>
        <v>1341.0343333333333</v>
      </c>
      <c r="N23" s="55">
        <f t="shared" si="1"/>
        <v>1612.1</v>
      </c>
      <c r="O23" s="33" t="s">
        <v>54</v>
      </c>
      <c r="P23" s="60" t="s">
        <v>111</v>
      </c>
      <c r="Q23" s="60" t="s">
        <v>112</v>
      </c>
      <c r="R23" s="61" t="s">
        <v>59</v>
      </c>
      <c r="S23" s="62">
        <v>329111</v>
      </c>
      <c r="T23" s="60" t="s">
        <v>56</v>
      </c>
    </row>
    <row r="24" spans="1:20" x14ac:dyDescent="0.2">
      <c r="A24" s="45">
        <v>19</v>
      </c>
      <c r="B24" s="45" t="s">
        <v>113</v>
      </c>
      <c r="C24" s="46" t="s">
        <v>114</v>
      </c>
      <c r="D24" s="158" t="s">
        <v>82</v>
      </c>
      <c r="E24" s="68">
        <f>976+49</f>
        <v>1025</v>
      </c>
      <c r="F24" s="52">
        <f>E24+322.14</f>
        <v>1347.1399999999999</v>
      </c>
      <c r="G24" s="50">
        <f>976*0.075</f>
        <v>73.2</v>
      </c>
      <c r="H24" s="50">
        <f>976*0.1425</f>
        <v>139.07999999999998</v>
      </c>
      <c r="I24" s="51">
        <f t="shared" si="0"/>
        <v>38.880666666666656</v>
      </c>
      <c r="J24" s="52"/>
      <c r="K24" s="52">
        <v>0</v>
      </c>
      <c r="L24" s="53"/>
      <c r="M24" s="54">
        <f t="shared" si="2"/>
        <v>1235.0593333333331</v>
      </c>
      <c r="N24" s="55">
        <f t="shared" si="1"/>
        <v>1486.2199999999998</v>
      </c>
      <c r="O24" s="33" t="s">
        <v>54</v>
      </c>
      <c r="P24" s="60" t="s">
        <v>113</v>
      </c>
      <c r="Q24" s="60" t="s">
        <v>114</v>
      </c>
      <c r="R24" s="61" t="s">
        <v>59</v>
      </c>
      <c r="S24" s="62">
        <v>329111</v>
      </c>
      <c r="T24" s="60" t="s">
        <v>56</v>
      </c>
    </row>
    <row r="25" spans="1:20" x14ac:dyDescent="0.2">
      <c r="A25" s="45">
        <v>20</v>
      </c>
      <c r="B25" s="45" t="s">
        <v>115</v>
      </c>
      <c r="C25" s="46" t="s">
        <v>116</v>
      </c>
      <c r="D25" s="158" t="s">
        <v>82</v>
      </c>
      <c r="E25" s="68">
        <f>1012+51</f>
        <v>1063</v>
      </c>
      <c r="F25" s="52">
        <f>E25+253.06</f>
        <v>1316.06</v>
      </c>
      <c r="G25" s="50">
        <f>1012*0.075</f>
        <v>75.899999999999991</v>
      </c>
      <c r="H25" s="50">
        <f>1012*0.1425</f>
        <v>144.20999999999998</v>
      </c>
      <c r="I25" s="51">
        <f t="shared" si="0"/>
        <v>35.772666666666659</v>
      </c>
      <c r="J25" s="52"/>
      <c r="K25" s="52">
        <v>0</v>
      </c>
      <c r="L25" s="53"/>
      <c r="M25" s="54">
        <f t="shared" si="2"/>
        <v>1204.3873333333333</v>
      </c>
      <c r="N25" s="55">
        <f t="shared" si="1"/>
        <v>1460.27</v>
      </c>
      <c r="O25" s="33" t="s">
        <v>54</v>
      </c>
      <c r="P25" s="60" t="s">
        <v>115</v>
      </c>
      <c r="Q25" s="60" t="s">
        <v>116</v>
      </c>
      <c r="R25" s="61" t="s">
        <v>59</v>
      </c>
      <c r="S25" s="62">
        <v>329111</v>
      </c>
      <c r="T25" s="60" t="s">
        <v>56</v>
      </c>
    </row>
    <row r="26" spans="1:20" x14ac:dyDescent="0.2">
      <c r="A26" s="45">
        <v>21</v>
      </c>
      <c r="B26" s="71" t="s">
        <v>117</v>
      </c>
      <c r="C26" s="46" t="s">
        <v>118</v>
      </c>
      <c r="D26" s="158" t="s">
        <v>97</v>
      </c>
      <c r="E26" s="68">
        <f>1000+82</f>
        <v>1082</v>
      </c>
      <c r="F26" s="52">
        <f>E26+400.67</f>
        <v>1482.67</v>
      </c>
      <c r="G26" s="50">
        <f>1000*0.075</f>
        <v>75</v>
      </c>
      <c r="H26" s="50">
        <f>1000*0.1425</f>
        <v>142.5</v>
      </c>
      <c r="I26" s="51">
        <f t="shared" si="0"/>
        <v>52.433666666666682</v>
      </c>
      <c r="J26" s="52"/>
      <c r="K26" s="52">
        <v>0</v>
      </c>
      <c r="L26" s="53"/>
      <c r="M26" s="54">
        <f t="shared" si="2"/>
        <v>1355.2363333333333</v>
      </c>
      <c r="N26" s="55">
        <f t="shared" si="1"/>
        <v>1625.17</v>
      </c>
      <c r="O26" s="33" t="s">
        <v>54</v>
      </c>
      <c r="P26" s="60" t="s">
        <v>117</v>
      </c>
      <c r="Q26" s="60" t="s">
        <v>118</v>
      </c>
      <c r="R26" s="61" t="s">
        <v>59</v>
      </c>
      <c r="S26" s="62">
        <v>323111</v>
      </c>
      <c r="T26" s="60" t="s">
        <v>56</v>
      </c>
    </row>
    <row r="27" spans="1:20" x14ac:dyDescent="0.2">
      <c r="A27" s="45">
        <v>22</v>
      </c>
      <c r="B27" s="71" t="s">
        <v>119</v>
      </c>
      <c r="C27" s="46" t="s">
        <v>120</v>
      </c>
      <c r="D27" s="158" t="s">
        <v>85</v>
      </c>
      <c r="E27" s="68">
        <f>1705+51</f>
        <v>1756</v>
      </c>
      <c r="F27" s="164">
        <f>(E27/30*9)+340.9</f>
        <v>867.69999999999993</v>
      </c>
      <c r="G27" s="172" t="s">
        <v>436</v>
      </c>
      <c r="H27" s="172" t="s">
        <v>436</v>
      </c>
      <c r="I27" s="51">
        <f t="shared" si="0"/>
        <v>5.8849999999999989</v>
      </c>
      <c r="J27" s="52"/>
      <c r="K27" s="52">
        <v>0</v>
      </c>
      <c r="L27" s="53"/>
      <c r="M27" s="54">
        <f t="shared" si="2"/>
        <v>861.81499999999994</v>
      </c>
      <c r="N27" s="55">
        <f>F27</f>
        <v>867.69999999999993</v>
      </c>
      <c r="O27" s="33" t="s">
        <v>54</v>
      </c>
      <c r="P27" s="60" t="s">
        <v>119</v>
      </c>
      <c r="Q27" s="60" t="s">
        <v>120</v>
      </c>
      <c r="R27" s="61" t="s">
        <v>59</v>
      </c>
      <c r="S27" s="62">
        <v>323111</v>
      </c>
      <c r="T27" s="60" t="s">
        <v>56</v>
      </c>
    </row>
    <row r="28" spans="1:20" x14ac:dyDescent="0.2">
      <c r="A28" s="45">
        <v>23</v>
      </c>
      <c r="B28" s="71" t="s">
        <v>121</v>
      </c>
      <c r="C28" s="46" t="s">
        <v>122</v>
      </c>
      <c r="D28" s="158" t="s">
        <v>123</v>
      </c>
      <c r="E28" s="68">
        <f>1633+66</f>
        <v>1699</v>
      </c>
      <c r="F28" s="52">
        <f>E28+653.22</f>
        <v>2352.2200000000003</v>
      </c>
      <c r="G28" s="50">
        <f>1633*0.075</f>
        <v>122.47499999999999</v>
      </c>
      <c r="H28" s="50">
        <f>1633*0.1425</f>
        <v>232.70249999999999</v>
      </c>
      <c r="I28" s="51">
        <f t="shared" si="0"/>
        <v>195.44400000000005</v>
      </c>
      <c r="J28" s="52"/>
      <c r="K28" s="52">
        <v>0</v>
      </c>
      <c r="L28" s="53"/>
      <c r="M28" s="54">
        <f t="shared" si="2"/>
        <v>2034.3010000000002</v>
      </c>
      <c r="N28" s="55">
        <f t="shared" si="1"/>
        <v>2584.9225000000001</v>
      </c>
      <c r="O28" s="33" t="s">
        <v>54</v>
      </c>
      <c r="P28" s="60" t="s">
        <v>121</v>
      </c>
      <c r="Q28" s="60" t="s">
        <v>122</v>
      </c>
      <c r="R28" s="61" t="s">
        <v>59</v>
      </c>
      <c r="S28" s="62">
        <v>323111</v>
      </c>
      <c r="T28" s="60" t="s">
        <v>56</v>
      </c>
    </row>
    <row r="29" spans="1:20" x14ac:dyDescent="0.2">
      <c r="A29" s="45">
        <v>24</v>
      </c>
      <c r="B29" s="71" t="s">
        <v>124</v>
      </c>
      <c r="C29" s="46" t="s">
        <v>125</v>
      </c>
      <c r="D29" s="158" t="s">
        <v>77</v>
      </c>
      <c r="E29" s="68">
        <f>1450+90</f>
        <v>1540</v>
      </c>
      <c r="F29" s="52">
        <f>E29+871.33</f>
        <v>2411.33</v>
      </c>
      <c r="G29" s="50">
        <f>1450*0.075</f>
        <v>108.75</v>
      </c>
      <c r="H29" s="50">
        <f>1450*0.1425</f>
        <v>206.62499999999997</v>
      </c>
      <c r="I29" s="51">
        <f t="shared" si="0"/>
        <v>207.26599999999999</v>
      </c>
      <c r="J29" s="52"/>
      <c r="K29" s="52">
        <v>0</v>
      </c>
      <c r="L29" s="53"/>
      <c r="M29" s="54">
        <f t="shared" si="2"/>
        <v>2095.3139999999999</v>
      </c>
      <c r="N29" s="55">
        <f t="shared" si="1"/>
        <v>2617.9549999999999</v>
      </c>
      <c r="O29" s="33" t="s">
        <v>54</v>
      </c>
      <c r="P29" s="60" t="s">
        <v>124</v>
      </c>
      <c r="Q29" s="60" t="s">
        <v>125</v>
      </c>
      <c r="R29" s="61" t="s">
        <v>59</v>
      </c>
      <c r="S29" s="62">
        <v>323111</v>
      </c>
      <c r="T29" s="60" t="s">
        <v>56</v>
      </c>
    </row>
    <row r="30" spans="1:20" x14ac:dyDescent="0.2">
      <c r="A30" s="45">
        <v>25</v>
      </c>
      <c r="B30" s="71" t="s">
        <v>126</v>
      </c>
      <c r="C30" s="46" t="s">
        <v>127</v>
      </c>
      <c r="D30" s="158" t="s">
        <v>128</v>
      </c>
      <c r="E30" s="68">
        <f>615+62</f>
        <v>677</v>
      </c>
      <c r="F30" s="52">
        <f>E30+431.02</f>
        <v>1108.02</v>
      </c>
      <c r="G30" s="50">
        <f>615*0.075</f>
        <v>46.125</v>
      </c>
      <c r="H30" s="50">
        <f>615*0.1425</f>
        <v>87.637499999999989</v>
      </c>
      <c r="I30" s="51">
        <f t="shared" si="0"/>
        <v>17.901</v>
      </c>
      <c r="J30" s="52"/>
      <c r="K30" s="52">
        <v>0</v>
      </c>
      <c r="L30" s="53"/>
      <c r="M30" s="54">
        <f t="shared" si="2"/>
        <v>1043.9939999999999</v>
      </c>
      <c r="N30" s="55">
        <f t="shared" si="1"/>
        <v>1195.6575</v>
      </c>
      <c r="O30" s="33" t="s">
        <v>54</v>
      </c>
      <c r="P30" s="60" t="s">
        <v>126</v>
      </c>
      <c r="Q30" s="60" t="s">
        <v>127</v>
      </c>
      <c r="R30" s="61" t="s">
        <v>59</v>
      </c>
      <c r="S30" s="62">
        <v>325311</v>
      </c>
      <c r="T30" s="72" t="s">
        <v>56</v>
      </c>
    </row>
    <row r="31" spans="1:20" x14ac:dyDescent="0.2">
      <c r="A31" s="45">
        <v>26</v>
      </c>
      <c r="B31" s="71" t="s">
        <v>129</v>
      </c>
      <c r="C31" s="46" t="s">
        <v>130</v>
      </c>
      <c r="D31" s="158" t="s">
        <v>85</v>
      </c>
      <c r="E31" s="68">
        <f>1193+59</f>
        <v>1252</v>
      </c>
      <c r="F31" s="52">
        <f>E31+238.56</f>
        <v>1490.56</v>
      </c>
      <c r="G31" s="50">
        <f>1193*0.075</f>
        <v>89.474999999999994</v>
      </c>
      <c r="H31" s="50">
        <f>1193*0.1425</f>
        <v>170.0025</v>
      </c>
      <c r="I31" s="51">
        <f t="shared" si="0"/>
        <v>53.222666666666676</v>
      </c>
      <c r="J31" s="52"/>
      <c r="K31" s="52">
        <v>0</v>
      </c>
      <c r="L31" s="53"/>
      <c r="M31" s="54">
        <f t="shared" si="2"/>
        <v>1347.8623333333333</v>
      </c>
      <c r="N31" s="55">
        <f t="shared" si="1"/>
        <v>1660.5625</v>
      </c>
      <c r="O31" s="33" t="s">
        <v>54</v>
      </c>
      <c r="P31" s="60" t="s">
        <v>129</v>
      </c>
      <c r="Q31" s="60" t="s">
        <v>130</v>
      </c>
      <c r="R31" s="61" t="s">
        <v>59</v>
      </c>
      <c r="S31" s="62">
        <v>323111</v>
      </c>
      <c r="T31" s="60" t="s">
        <v>56</v>
      </c>
    </row>
    <row r="32" spans="1:20" x14ac:dyDescent="0.2">
      <c r="A32" s="45">
        <v>27</v>
      </c>
      <c r="B32" s="71" t="s">
        <v>131</v>
      </c>
      <c r="C32" s="46" t="s">
        <v>132</v>
      </c>
      <c r="D32" s="158" t="s">
        <v>133</v>
      </c>
      <c r="E32" s="68">
        <f>2272+68</f>
        <v>2340</v>
      </c>
      <c r="F32" s="52">
        <f>E32+908.8</f>
        <v>3248.8</v>
      </c>
      <c r="G32" s="50">
        <f>2272*0.075</f>
        <v>170.4</v>
      </c>
      <c r="H32" s="52">
        <f>2272*0.1425</f>
        <v>323.76</v>
      </c>
      <c r="I32" s="51">
        <f t="shared" si="0"/>
        <v>416.36666666666679</v>
      </c>
      <c r="J32" s="52"/>
      <c r="K32" s="52">
        <v>0</v>
      </c>
      <c r="L32" s="53"/>
      <c r="M32" s="54">
        <f t="shared" si="2"/>
        <v>2662.0333333333333</v>
      </c>
      <c r="N32" s="55">
        <f t="shared" si="1"/>
        <v>3572.5600000000004</v>
      </c>
      <c r="O32" s="33" t="s">
        <v>54</v>
      </c>
      <c r="P32" s="60" t="s">
        <v>131</v>
      </c>
      <c r="Q32" s="60" t="s">
        <v>132</v>
      </c>
      <c r="R32" s="61" t="s">
        <v>59</v>
      </c>
      <c r="S32" s="62">
        <v>323111</v>
      </c>
      <c r="T32" s="60" t="s">
        <v>56</v>
      </c>
    </row>
    <row r="33" spans="1:20" x14ac:dyDescent="0.2">
      <c r="A33" s="45">
        <v>28</v>
      </c>
      <c r="B33" s="71" t="s">
        <v>134</v>
      </c>
      <c r="C33" s="46" t="s">
        <v>135</v>
      </c>
      <c r="D33" s="158" t="s">
        <v>136</v>
      </c>
      <c r="E33" s="68">
        <f>815+43</f>
        <v>858</v>
      </c>
      <c r="F33" s="52">
        <f>E33+285.78</f>
        <v>1143.78</v>
      </c>
      <c r="G33" s="50">
        <f>815*0.075</f>
        <v>61.125</v>
      </c>
      <c r="H33" s="50">
        <f>815*0.1425</f>
        <v>116.13749999999999</v>
      </c>
      <c r="I33" s="51">
        <f t="shared" si="0"/>
        <v>19.689000000000004</v>
      </c>
      <c r="J33" s="52"/>
      <c r="K33" s="52">
        <v>0</v>
      </c>
      <c r="L33" s="53"/>
      <c r="M33" s="54">
        <f t="shared" si="2"/>
        <v>1062.9659999999999</v>
      </c>
      <c r="N33" s="55">
        <f t="shared" si="1"/>
        <v>1259.9175</v>
      </c>
      <c r="O33" s="33" t="s">
        <v>54</v>
      </c>
      <c r="P33" s="60" t="s">
        <v>134</v>
      </c>
      <c r="Q33" s="60" t="s">
        <v>135</v>
      </c>
      <c r="R33" s="61" t="s">
        <v>137</v>
      </c>
      <c r="S33" s="62">
        <v>311311</v>
      </c>
      <c r="T33" s="60" t="s">
        <v>138</v>
      </c>
    </row>
    <row r="34" spans="1:20" x14ac:dyDescent="0.2">
      <c r="A34" s="45">
        <v>29</v>
      </c>
      <c r="B34" s="71" t="s">
        <v>139</v>
      </c>
      <c r="C34" s="46" t="s">
        <v>140</v>
      </c>
      <c r="D34" s="158" t="s">
        <v>65</v>
      </c>
      <c r="E34" s="68">
        <f>1022+52</f>
        <v>1074</v>
      </c>
      <c r="F34" s="52">
        <f>E34+408.96</f>
        <v>1482.96</v>
      </c>
      <c r="G34" s="50">
        <f>1022*0.075</f>
        <v>76.649999999999991</v>
      </c>
      <c r="H34" s="50">
        <f>1022*0.1425</f>
        <v>145.63499999999999</v>
      </c>
      <c r="I34" s="51">
        <f t="shared" si="0"/>
        <v>0</v>
      </c>
      <c r="J34" s="52"/>
      <c r="K34" s="52">
        <v>0</v>
      </c>
      <c r="L34" s="53"/>
      <c r="M34" s="54">
        <f t="shared" si="2"/>
        <v>1406.31</v>
      </c>
      <c r="N34" s="55">
        <f t="shared" si="1"/>
        <v>1628.595</v>
      </c>
      <c r="O34" s="33" t="s">
        <v>69</v>
      </c>
      <c r="P34" s="60" t="s">
        <v>139</v>
      </c>
      <c r="Q34" s="60" t="s">
        <v>140</v>
      </c>
      <c r="R34" s="61" t="s">
        <v>59</v>
      </c>
      <c r="S34" s="62">
        <v>323111</v>
      </c>
      <c r="T34" s="60" t="s">
        <v>56</v>
      </c>
    </row>
    <row r="35" spans="1:20" x14ac:dyDescent="0.2">
      <c r="A35" s="45">
        <v>30</v>
      </c>
      <c r="B35" s="71" t="s">
        <v>141</v>
      </c>
      <c r="C35" s="46" t="s">
        <v>142</v>
      </c>
      <c r="D35" s="158" t="s">
        <v>143</v>
      </c>
      <c r="E35" s="68">
        <f>2800+96</f>
        <v>2896</v>
      </c>
      <c r="F35" s="52">
        <f>E35+843.48</f>
        <v>3739.48</v>
      </c>
      <c r="G35" s="50">
        <f>2800*0.075</f>
        <v>210</v>
      </c>
      <c r="H35" s="50">
        <f>2800*0.1425</f>
        <v>398.99999999999994</v>
      </c>
      <c r="I35" s="51">
        <f t="shared" si="0"/>
        <v>351.53666666666669</v>
      </c>
      <c r="J35" s="52"/>
      <c r="K35" s="52">
        <v>0</v>
      </c>
      <c r="L35" s="53"/>
      <c r="M35" s="54">
        <f t="shared" si="2"/>
        <v>3177.9433333333336</v>
      </c>
      <c r="N35" s="55">
        <f t="shared" si="1"/>
        <v>4138.4799999999996</v>
      </c>
      <c r="O35" s="33" t="s">
        <v>69</v>
      </c>
      <c r="P35" s="60" t="s">
        <v>141</v>
      </c>
      <c r="Q35" s="60" t="s">
        <v>142</v>
      </c>
      <c r="R35" s="61" t="s">
        <v>59</v>
      </c>
      <c r="S35" s="62">
        <v>323111</v>
      </c>
      <c r="T35" s="60" t="s">
        <v>56</v>
      </c>
    </row>
    <row r="36" spans="1:20" x14ac:dyDescent="0.2">
      <c r="A36" s="45">
        <v>31</v>
      </c>
      <c r="B36" s="71" t="s">
        <v>144</v>
      </c>
      <c r="C36" s="46" t="s">
        <v>145</v>
      </c>
      <c r="D36" s="158" t="s">
        <v>65</v>
      </c>
      <c r="E36" s="68">
        <f>1065+53</f>
        <v>1118</v>
      </c>
      <c r="F36" s="52">
        <f>E36+213</f>
        <v>1331</v>
      </c>
      <c r="G36" s="50">
        <f>1065*0.075</f>
        <v>79.875</v>
      </c>
      <c r="H36" s="50">
        <f>1065*0.1425</f>
        <v>151.76249999999999</v>
      </c>
      <c r="I36" s="51">
        <f t="shared" si="0"/>
        <v>37.266666666666673</v>
      </c>
      <c r="J36" s="52"/>
      <c r="K36" s="52">
        <v>0</v>
      </c>
      <c r="L36" s="53"/>
      <c r="M36" s="54">
        <f t="shared" si="2"/>
        <v>1213.8583333333333</v>
      </c>
      <c r="N36" s="55">
        <f t="shared" si="1"/>
        <v>1482.7625</v>
      </c>
      <c r="O36" s="33" t="s">
        <v>54</v>
      </c>
      <c r="P36" s="60" t="s">
        <v>144</v>
      </c>
      <c r="Q36" s="60" t="s">
        <v>145</v>
      </c>
      <c r="R36" s="61" t="s">
        <v>59</v>
      </c>
      <c r="S36" s="62">
        <v>323111</v>
      </c>
      <c r="T36" s="60" t="s">
        <v>56</v>
      </c>
    </row>
    <row r="37" spans="1:20" x14ac:dyDescent="0.2">
      <c r="A37" s="45">
        <v>32</v>
      </c>
      <c r="B37" s="71" t="s">
        <v>146</v>
      </c>
      <c r="C37" s="46" t="s">
        <v>147</v>
      </c>
      <c r="D37" s="158" t="s">
        <v>148</v>
      </c>
      <c r="E37" s="68">
        <f>1600+47</f>
        <v>1647</v>
      </c>
      <c r="F37" s="52">
        <f t="shared" ref="F37:F46" si="6">E37</f>
        <v>1647</v>
      </c>
      <c r="G37" s="50">
        <f>1600*0.075</f>
        <v>120</v>
      </c>
      <c r="H37" s="50">
        <f>1600*0.1425</f>
        <v>227.99999999999997</v>
      </c>
      <c r="I37" s="51">
        <f t="shared" si="0"/>
        <v>7.3500000000000005</v>
      </c>
      <c r="J37" s="52"/>
      <c r="K37" s="52">
        <v>0</v>
      </c>
      <c r="L37" s="53"/>
      <c r="M37" s="54">
        <f t="shared" si="2"/>
        <v>1519.65</v>
      </c>
      <c r="N37" s="55">
        <f t="shared" si="1"/>
        <v>1875</v>
      </c>
      <c r="O37" s="33" t="s">
        <v>69</v>
      </c>
      <c r="P37" s="60" t="s">
        <v>146</v>
      </c>
      <c r="Q37" s="60" t="s">
        <v>147</v>
      </c>
      <c r="R37" s="61" t="s">
        <v>101</v>
      </c>
      <c r="S37" s="62">
        <v>349311</v>
      </c>
      <c r="T37" s="60" t="s">
        <v>102</v>
      </c>
    </row>
    <row r="38" spans="1:20" x14ac:dyDescent="0.2">
      <c r="A38" s="45">
        <v>33</v>
      </c>
      <c r="B38" s="71" t="s">
        <v>149</v>
      </c>
      <c r="C38" s="46" t="s">
        <v>150</v>
      </c>
      <c r="D38" s="158" t="s">
        <v>143</v>
      </c>
      <c r="E38" s="68">
        <f>2740+111</f>
        <v>2851</v>
      </c>
      <c r="F38" s="52">
        <f t="shared" si="6"/>
        <v>2851</v>
      </c>
      <c r="G38" s="50">
        <f>2740*0.075</f>
        <v>205.5</v>
      </c>
      <c r="H38" s="50">
        <f>2740*0.1425</f>
        <v>390.45</v>
      </c>
      <c r="I38" s="51">
        <f t="shared" si="0"/>
        <v>145.20000000000002</v>
      </c>
      <c r="J38" s="52"/>
      <c r="K38" s="52">
        <v>0</v>
      </c>
      <c r="L38" s="53"/>
      <c r="M38" s="54">
        <f t="shared" si="2"/>
        <v>2500.3000000000002</v>
      </c>
      <c r="N38" s="55">
        <f t="shared" si="1"/>
        <v>3241.45</v>
      </c>
      <c r="O38" s="33" t="s">
        <v>69</v>
      </c>
      <c r="P38" s="60" t="s">
        <v>149</v>
      </c>
      <c r="Q38" s="60" t="s">
        <v>150</v>
      </c>
      <c r="R38" s="61" t="s">
        <v>59</v>
      </c>
      <c r="S38" s="62">
        <v>323111</v>
      </c>
      <c r="T38" s="60" t="s">
        <v>56</v>
      </c>
    </row>
    <row r="39" spans="1:20" x14ac:dyDescent="0.2">
      <c r="A39" s="45">
        <v>34</v>
      </c>
      <c r="B39" s="71" t="s">
        <v>151</v>
      </c>
      <c r="C39" s="46" t="s">
        <v>152</v>
      </c>
      <c r="D39" s="158" t="s">
        <v>143</v>
      </c>
      <c r="E39" s="68">
        <f>2270+70</f>
        <v>2340</v>
      </c>
      <c r="F39" s="52">
        <f>E39+1136</f>
        <v>3476</v>
      </c>
      <c r="G39" s="50">
        <f>2270*0.075</f>
        <v>170.25</v>
      </c>
      <c r="H39" s="52">
        <f>2270*0.1425</f>
        <v>323.47499999999997</v>
      </c>
      <c r="I39" s="51">
        <f t="shared" si="0"/>
        <v>285.66666666666669</v>
      </c>
      <c r="J39" s="52"/>
      <c r="K39" s="52">
        <v>0</v>
      </c>
      <c r="L39" s="53"/>
      <c r="M39" s="54">
        <f t="shared" si="2"/>
        <v>3020.0833333333335</v>
      </c>
      <c r="N39" s="55">
        <f t="shared" si="1"/>
        <v>3799.4749999999999</v>
      </c>
      <c r="O39" s="33" t="s">
        <v>69</v>
      </c>
      <c r="P39" s="60" t="s">
        <v>151</v>
      </c>
      <c r="Q39" s="60" t="s">
        <v>152</v>
      </c>
      <c r="R39" s="61" t="s">
        <v>59</v>
      </c>
      <c r="S39" s="62">
        <v>323111</v>
      </c>
      <c r="T39" s="60" t="s">
        <v>56</v>
      </c>
    </row>
    <row r="40" spans="1:20" x14ac:dyDescent="0.2">
      <c r="A40" s="45">
        <v>35</v>
      </c>
      <c r="B40" s="71" t="s">
        <v>153</v>
      </c>
      <c r="C40" s="46" t="s">
        <v>154</v>
      </c>
      <c r="D40" s="158" t="s">
        <v>97</v>
      </c>
      <c r="E40" s="68">
        <f>900+39</f>
        <v>939</v>
      </c>
      <c r="F40" s="52">
        <f>E40+357.84</f>
        <v>1296.8399999999999</v>
      </c>
      <c r="G40" s="50">
        <f>900*0.075</f>
        <v>67.5</v>
      </c>
      <c r="H40" s="50">
        <f>900*0.1425</f>
        <v>128.25</v>
      </c>
      <c r="I40" s="51">
        <f t="shared" si="0"/>
        <v>33.850666666666655</v>
      </c>
      <c r="J40" s="52"/>
      <c r="K40" s="52">
        <v>0</v>
      </c>
      <c r="L40" s="53"/>
      <c r="M40" s="54">
        <f t="shared" si="2"/>
        <v>1195.4893333333332</v>
      </c>
      <c r="N40" s="55">
        <f t="shared" si="1"/>
        <v>1425.09</v>
      </c>
      <c r="O40" s="33" t="s">
        <v>54</v>
      </c>
      <c r="P40" s="60" t="s">
        <v>153</v>
      </c>
      <c r="Q40" s="60" t="s">
        <v>154</v>
      </c>
      <c r="R40" s="61" t="s">
        <v>59</v>
      </c>
      <c r="S40" s="62">
        <v>323111</v>
      </c>
      <c r="T40" s="60" t="s">
        <v>56</v>
      </c>
    </row>
    <row r="41" spans="1:20" x14ac:dyDescent="0.2">
      <c r="A41" s="45">
        <v>36</v>
      </c>
      <c r="B41" s="71" t="s">
        <v>158</v>
      </c>
      <c r="C41" s="46" t="s">
        <v>159</v>
      </c>
      <c r="D41" s="158" t="s">
        <v>160</v>
      </c>
      <c r="E41" s="68">
        <f>900+45</f>
        <v>945</v>
      </c>
      <c r="F41" s="52">
        <f>E41+225</f>
        <v>1170</v>
      </c>
      <c r="G41" s="50">
        <f>900*0.075</f>
        <v>67.5</v>
      </c>
      <c r="H41" s="50">
        <f>900*0.1425</f>
        <v>128.25</v>
      </c>
      <c r="I41" s="51">
        <f t="shared" si="0"/>
        <v>21.166666666666668</v>
      </c>
      <c r="J41" s="52"/>
      <c r="K41" s="52">
        <v>0</v>
      </c>
      <c r="L41" s="53"/>
      <c r="M41" s="54">
        <f t="shared" si="2"/>
        <v>1081.3333333333333</v>
      </c>
      <c r="N41" s="55">
        <f t="shared" si="1"/>
        <v>1298.25</v>
      </c>
      <c r="O41" s="33" t="s">
        <v>54</v>
      </c>
      <c r="P41" s="60" t="s">
        <v>158</v>
      </c>
      <c r="Q41" s="60" t="s">
        <v>159</v>
      </c>
      <c r="R41" s="61" t="s">
        <v>55</v>
      </c>
      <c r="S41" s="62">
        <v>323111</v>
      </c>
      <c r="T41" s="60" t="s">
        <v>56</v>
      </c>
    </row>
    <row r="42" spans="1:20" x14ac:dyDescent="0.2">
      <c r="A42" s="45">
        <v>37</v>
      </c>
      <c r="B42" s="71" t="s">
        <v>161</v>
      </c>
      <c r="C42" s="73" t="s">
        <v>162</v>
      </c>
      <c r="D42" s="158" t="s">
        <v>163</v>
      </c>
      <c r="E42" s="68">
        <f>450+38</f>
        <v>488</v>
      </c>
      <c r="F42" s="52">
        <f t="shared" si="6"/>
        <v>488</v>
      </c>
      <c r="G42" s="50">
        <f>450*0.075</f>
        <v>33.75</v>
      </c>
      <c r="H42" s="50">
        <f>450*0.1425</f>
        <v>64.125</v>
      </c>
      <c r="I42" s="51">
        <f t="shared" si="0"/>
        <v>0</v>
      </c>
      <c r="J42" s="52"/>
      <c r="K42" s="52">
        <v>0</v>
      </c>
      <c r="L42" s="53"/>
      <c r="M42" s="54">
        <f t="shared" si="2"/>
        <v>454.25</v>
      </c>
      <c r="N42" s="55">
        <f t="shared" si="1"/>
        <v>552.125</v>
      </c>
      <c r="O42" s="33" t="s">
        <v>69</v>
      </c>
      <c r="P42" s="60" t="s">
        <v>161</v>
      </c>
      <c r="Q42" s="60" t="s">
        <v>162</v>
      </c>
      <c r="R42" s="61" t="s">
        <v>59</v>
      </c>
      <c r="S42" s="62">
        <v>134311</v>
      </c>
      <c r="T42" s="60" t="s">
        <v>164</v>
      </c>
    </row>
    <row r="43" spans="1:20" x14ac:dyDescent="0.2">
      <c r="A43" s="45">
        <v>38</v>
      </c>
      <c r="B43" s="71" t="s">
        <v>165</v>
      </c>
      <c r="C43" s="46" t="s">
        <v>166</v>
      </c>
      <c r="D43" s="158" t="s">
        <v>167</v>
      </c>
      <c r="E43" s="68">
        <f>1700+52</f>
        <v>1752</v>
      </c>
      <c r="F43" s="52">
        <f>E43+425</f>
        <v>2177</v>
      </c>
      <c r="G43" s="50">
        <f>1700*0.075</f>
        <v>127.5</v>
      </c>
      <c r="H43" s="50">
        <f>1700*0.1425</f>
        <v>242.24999999999997</v>
      </c>
      <c r="I43" s="51">
        <f t="shared" si="0"/>
        <v>46.866666666666674</v>
      </c>
      <c r="J43" s="52"/>
      <c r="K43" s="52">
        <v>0</v>
      </c>
      <c r="L43" s="53"/>
      <c r="M43" s="54">
        <f t="shared" si="2"/>
        <v>2002.6333333333332</v>
      </c>
      <c r="N43" s="55">
        <f t="shared" si="1"/>
        <v>2419.25</v>
      </c>
      <c r="O43" s="33" t="s">
        <v>69</v>
      </c>
      <c r="P43" s="60" t="s">
        <v>165</v>
      </c>
      <c r="Q43" s="60" t="s">
        <v>166</v>
      </c>
      <c r="R43" s="61" t="s">
        <v>55</v>
      </c>
      <c r="S43" s="62">
        <v>323111</v>
      </c>
      <c r="T43" s="60" t="s">
        <v>56</v>
      </c>
    </row>
    <row r="44" spans="1:20" x14ac:dyDescent="0.2">
      <c r="A44" s="45">
        <v>39</v>
      </c>
      <c r="B44" s="71" t="s">
        <v>168</v>
      </c>
      <c r="C44" s="46" t="s">
        <v>169</v>
      </c>
      <c r="D44" s="158" t="s">
        <v>170</v>
      </c>
      <c r="E44" s="74">
        <f>350+38</f>
        <v>388</v>
      </c>
      <c r="F44" s="52">
        <f>E44+105</f>
        <v>493</v>
      </c>
      <c r="G44" s="50">
        <f>350*0.075</f>
        <v>26.25</v>
      </c>
      <c r="H44" s="50">
        <f>350*0.1425</f>
        <v>49.874999999999993</v>
      </c>
      <c r="I44" s="51">
        <f t="shared" si="0"/>
        <v>0</v>
      </c>
      <c r="J44" s="52"/>
      <c r="K44" s="52">
        <v>0</v>
      </c>
      <c r="L44" s="53"/>
      <c r="M44" s="54">
        <f t="shared" si="2"/>
        <v>466.75</v>
      </c>
      <c r="N44" s="55">
        <f t="shared" si="1"/>
        <v>542.875</v>
      </c>
      <c r="O44" s="33" t="s">
        <v>54</v>
      </c>
      <c r="P44" s="60" t="s">
        <v>168</v>
      </c>
      <c r="Q44" s="60" t="s">
        <v>169</v>
      </c>
      <c r="R44" s="61" t="s">
        <v>55</v>
      </c>
      <c r="S44" s="62">
        <v>325311</v>
      </c>
      <c r="T44" s="72" t="s">
        <v>56</v>
      </c>
    </row>
    <row r="45" spans="1:20" x14ac:dyDescent="0.2">
      <c r="A45" s="45">
        <v>40</v>
      </c>
      <c r="B45" s="71" t="s">
        <v>171</v>
      </c>
      <c r="C45" s="46" t="s">
        <v>172</v>
      </c>
      <c r="D45" s="158" t="s">
        <v>53</v>
      </c>
      <c r="E45" s="74">
        <f>700+38</f>
        <v>738</v>
      </c>
      <c r="F45" s="52">
        <f>E45+175</f>
        <v>913</v>
      </c>
      <c r="G45" s="50">
        <f>700*0.075</f>
        <v>52.5</v>
      </c>
      <c r="H45" s="50">
        <f>700*0.1425</f>
        <v>99.749999999999986</v>
      </c>
      <c r="I45" s="51">
        <f t="shared" si="0"/>
        <v>8.15</v>
      </c>
      <c r="J45" s="52"/>
      <c r="K45" s="52">
        <v>0</v>
      </c>
      <c r="L45" s="53"/>
      <c r="M45" s="54">
        <f t="shared" si="2"/>
        <v>852.35</v>
      </c>
      <c r="N45" s="55">
        <f t="shared" si="1"/>
        <v>1012.75</v>
      </c>
      <c r="O45" s="33" t="s">
        <v>54</v>
      </c>
      <c r="P45" s="60" t="s">
        <v>171</v>
      </c>
      <c r="Q45" s="60" t="s">
        <v>172</v>
      </c>
      <c r="R45" s="61" t="s">
        <v>59</v>
      </c>
      <c r="S45" s="62">
        <v>329111</v>
      </c>
      <c r="T45" s="60" t="s">
        <v>56</v>
      </c>
    </row>
    <row r="46" spans="1:20" x14ac:dyDescent="0.2">
      <c r="A46" s="45">
        <v>41</v>
      </c>
      <c r="B46" s="71" t="s">
        <v>173</v>
      </c>
      <c r="C46" s="46" t="s">
        <v>174</v>
      </c>
      <c r="D46" s="158" t="s">
        <v>175</v>
      </c>
      <c r="E46" s="74">
        <f>2300+139</f>
        <v>2439</v>
      </c>
      <c r="F46" s="52">
        <f t="shared" si="6"/>
        <v>2439</v>
      </c>
      <c r="G46" s="50">
        <f>2300*0.075</f>
        <v>172.5</v>
      </c>
      <c r="H46" s="52">
        <f>2300*0.1425</f>
        <v>327.75</v>
      </c>
      <c r="I46" s="51">
        <f t="shared" si="0"/>
        <v>213.91666666666666</v>
      </c>
      <c r="J46" s="52"/>
      <c r="K46" s="52">
        <v>0</v>
      </c>
      <c r="L46" s="53"/>
      <c r="M46" s="54">
        <f t="shared" si="2"/>
        <v>2052.5833333333335</v>
      </c>
      <c r="N46" s="55">
        <f t="shared" si="1"/>
        <v>2766.75</v>
      </c>
      <c r="O46" s="33" t="s">
        <v>54</v>
      </c>
      <c r="P46" s="60" t="s">
        <v>176</v>
      </c>
      <c r="Q46" s="60" t="s">
        <v>174</v>
      </c>
      <c r="R46" s="61" t="s">
        <v>59</v>
      </c>
      <c r="S46" s="62">
        <v>111111</v>
      </c>
      <c r="T46" s="60" t="s">
        <v>177</v>
      </c>
    </row>
    <row r="47" spans="1:20" x14ac:dyDescent="0.2">
      <c r="A47" s="45">
        <v>42</v>
      </c>
      <c r="B47" s="71" t="s">
        <v>178</v>
      </c>
      <c r="C47" s="46" t="s">
        <v>179</v>
      </c>
      <c r="D47" s="158" t="s">
        <v>180</v>
      </c>
      <c r="E47" s="74">
        <v>480</v>
      </c>
      <c r="F47" s="52">
        <f>480+120</f>
        <v>600</v>
      </c>
      <c r="G47" s="50">
        <f>480*0.075</f>
        <v>36</v>
      </c>
      <c r="H47" s="50">
        <f>480*0.1425</f>
        <v>68.399999999999991</v>
      </c>
      <c r="I47" s="51">
        <f t="shared" si="0"/>
        <v>0</v>
      </c>
      <c r="J47" s="52"/>
      <c r="K47" s="52">
        <v>0</v>
      </c>
      <c r="L47" s="53"/>
      <c r="M47" s="54">
        <f t="shared" si="2"/>
        <v>564</v>
      </c>
      <c r="N47" s="55">
        <f t="shared" si="1"/>
        <v>668.4</v>
      </c>
      <c r="O47" s="33" t="s">
        <v>54</v>
      </c>
      <c r="P47" s="60" t="s">
        <v>178</v>
      </c>
      <c r="Q47" s="60" t="s">
        <v>179</v>
      </c>
      <c r="R47" s="61" t="s">
        <v>59</v>
      </c>
      <c r="S47" s="62">
        <v>329111</v>
      </c>
      <c r="T47" s="60" t="s">
        <v>56</v>
      </c>
    </row>
    <row r="48" spans="1:20" x14ac:dyDescent="0.2">
      <c r="A48" s="45">
        <v>43</v>
      </c>
      <c r="B48" s="71" t="s">
        <v>184</v>
      </c>
      <c r="C48" s="46" t="s">
        <v>185</v>
      </c>
      <c r="D48" s="158" t="s">
        <v>186</v>
      </c>
      <c r="E48" s="74">
        <f>816+41</f>
        <v>857</v>
      </c>
      <c r="F48" s="52">
        <f>E48+285.6</f>
        <v>1142.5999999999999</v>
      </c>
      <c r="G48" s="50">
        <f>816*0.075</f>
        <v>61.199999999999996</v>
      </c>
      <c r="H48" s="50">
        <f>816*0.1425</f>
        <v>116.27999999999999</v>
      </c>
      <c r="I48" s="51">
        <f t="shared" si="0"/>
        <v>19.629999999999995</v>
      </c>
      <c r="J48" s="52"/>
      <c r="K48" s="52">
        <v>0</v>
      </c>
      <c r="L48" s="53"/>
      <c r="M48" s="54">
        <f t="shared" si="2"/>
        <v>1061.77</v>
      </c>
      <c r="N48" s="55">
        <f t="shared" si="1"/>
        <v>1258.8799999999999</v>
      </c>
      <c r="O48" s="33" t="s">
        <v>54</v>
      </c>
      <c r="P48" s="60" t="s">
        <v>184</v>
      </c>
      <c r="Q48" s="60" t="s">
        <v>185</v>
      </c>
      <c r="R48" s="61" t="s">
        <v>59</v>
      </c>
      <c r="S48" s="62">
        <v>329111</v>
      </c>
      <c r="T48" s="60" t="s">
        <v>56</v>
      </c>
    </row>
    <row r="49" spans="1:22" x14ac:dyDescent="0.2">
      <c r="A49" s="45">
        <v>44</v>
      </c>
      <c r="B49" s="71" t="s">
        <v>187</v>
      </c>
      <c r="C49" s="46" t="s">
        <v>188</v>
      </c>
      <c r="D49" s="158" t="s">
        <v>189</v>
      </c>
      <c r="E49" s="74">
        <f>600+48</f>
        <v>648</v>
      </c>
      <c r="F49" s="52">
        <f>E49</f>
        <v>648</v>
      </c>
      <c r="G49" s="162">
        <f>600*0.075</f>
        <v>45</v>
      </c>
      <c r="H49" s="162">
        <f>600*0.1425</f>
        <v>85.499999999999986</v>
      </c>
      <c r="I49" s="51">
        <f t="shared" si="0"/>
        <v>0</v>
      </c>
      <c r="J49" s="52"/>
      <c r="K49" s="52">
        <v>0</v>
      </c>
      <c r="L49" s="53"/>
      <c r="M49" s="54">
        <f t="shared" si="2"/>
        <v>603</v>
      </c>
      <c r="N49" s="55">
        <f t="shared" si="1"/>
        <v>733.5</v>
      </c>
      <c r="O49" s="33" t="s">
        <v>54</v>
      </c>
      <c r="P49" s="60" t="s">
        <v>187</v>
      </c>
      <c r="Q49" s="60" t="s">
        <v>188</v>
      </c>
      <c r="R49" s="61" t="s">
        <v>59</v>
      </c>
      <c r="S49" s="62">
        <v>131111</v>
      </c>
      <c r="T49" s="60" t="s">
        <v>164</v>
      </c>
    </row>
    <row r="50" spans="1:22" x14ac:dyDescent="0.2">
      <c r="A50" s="45">
        <v>45</v>
      </c>
      <c r="B50" s="71" t="s">
        <v>190</v>
      </c>
      <c r="C50" s="46" t="s">
        <v>191</v>
      </c>
      <c r="D50" s="158" t="s">
        <v>186</v>
      </c>
      <c r="E50" s="74">
        <f>900+45</f>
        <v>945</v>
      </c>
      <c r="F50" s="52">
        <f>E50+225</f>
        <v>1170</v>
      </c>
      <c r="G50" s="50">
        <f>900*0.075</f>
        <v>67.5</v>
      </c>
      <c r="H50" s="50">
        <f>900*0.1425</f>
        <v>128.25</v>
      </c>
      <c r="I50" s="51">
        <f t="shared" si="0"/>
        <v>21.166666666666668</v>
      </c>
      <c r="J50" s="52"/>
      <c r="K50" s="52">
        <v>0</v>
      </c>
      <c r="L50" s="53"/>
      <c r="M50" s="54">
        <f t="shared" si="2"/>
        <v>1081.3333333333333</v>
      </c>
      <c r="N50" s="55">
        <f t="shared" si="1"/>
        <v>1298.25</v>
      </c>
      <c r="O50" s="33" t="s">
        <v>54</v>
      </c>
      <c r="P50" s="60" t="s">
        <v>190</v>
      </c>
      <c r="Q50" s="60" t="s">
        <v>191</v>
      </c>
      <c r="R50" s="61" t="s">
        <v>59</v>
      </c>
      <c r="S50" s="62">
        <v>329111</v>
      </c>
      <c r="T50" s="60" t="s">
        <v>56</v>
      </c>
    </row>
    <row r="51" spans="1:22" x14ac:dyDescent="0.2">
      <c r="A51" s="45">
        <v>46</v>
      </c>
      <c r="B51" s="71" t="s">
        <v>195</v>
      </c>
      <c r="C51" s="46" t="s">
        <v>196</v>
      </c>
      <c r="D51" s="158" t="s">
        <v>186</v>
      </c>
      <c r="E51" s="74">
        <v>945</v>
      </c>
      <c r="F51" s="52">
        <f>945+236.25</f>
        <v>1181.25</v>
      </c>
      <c r="G51" s="50">
        <f>945*0.075</f>
        <v>70.875</v>
      </c>
      <c r="H51" s="50">
        <f>945*0.1425</f>
        <v>134.66249999999999</v>
      </c>
      <c r="I51" s="51">
        <f t="shared" si="0"/>
        <v>22.291666666666668</v>
      </c>
      <c r="J51" s="52"/>
      <c r="K51" s="52">
        <v>0</v>
      </c>
      <c r="L51" s="53"/>
      <c r="M51" s="54">
        <f t="shared" si="2"/>
        <v>1088.0833333333333</v>
      </c>
      <c r="N51" s="55">
        <f t="shared" si="1"/>
        <v>1315.9124999999999</v>
      </c>
      <c r="O51" s="33" t="s">
        <v>54</v>
      </c>
      <c r="P51" s="60" t="s">
        <v>195</v>
      </c>
      <c r="Q51" s="60" t="s">
        <v>196</v>
      </c>
      <c r="R51" s="61" t="s">
        <v>59</v>
      </c>
      <c r="S51" s="62">
        <v>329111</v>
      </c>
      <c r="T51" s="60" t="s">
        <v>56</v>
      </c>
    </row>
    <row r="52" spans="1:22" x14ac:dyDescent="0.2">
      <c r="A52" s="45">
        <v>47</v>
      </c>
      <c r="B52" s="71" t="s">
        <v>197</v>
      </c>
      <c r="C52" s="46" t="s">
        <v>198</v>
      </c>
      <c r="D52" s="158" t="s">
        <v>199</v>
      </c>
      <c r="E52" s="74">
        <v>1420</v>
      </c>
      <c r="F52" s="52">
        <f>1420+568</f>
        <v>1988</v>
      </c>
      <c r="G52" s="50">
        <f>1420*0.075</f>
        <v>106.5</v>
      </c>
      <c r="H52" s="50">
        <f>1420*0.1425</f>
        <v>202.35</v>
      </c>
      <c r="I52" s="51">
        <f t="shared" si="0"/>
        <v>123.2</v>
      </c>
      <c r="J52" s="52"/>
      <c r="K52" s="52">
        <v>0</v>
      </c>
      <c r="L52" s="53"/>
      <c r="M52" s="54">
        <f t="shared" si="2"/>
        <v>1758.3</v>
      </c>
      <c r="N52" s="55">
        <f t="shared" si="1"/>
        <v>2190.35</v>
      </c>
      <c r="O52" s="33" t="s">
        <v>54</v>
      </c>
      <c r="P52" s="60" t="s">
        <v>197</v>
      </c>
      <c r="Q52" s="60" t="s">
        <v>198</v>
      </c>
      <c r="R52" s="61" t="s">
        <v>55</v>
      </c>
      <c r="S52" s="62">
        <v>323111</v>
      </c>
      <c r="T52" s="60" t="s">
        <v>56</v>
      </c>
    </row>
    <row r="53" spans="1:22" x14ac:dyDescent="0.2">
      <c r="A53" s="45">
        <v>48</v>
      </c>
      <c r="B53" s="71" t="s">
        <v>200</v>
      </c>
      <c r="C53" s="46" t="s">
        <v>201</v>
      </c>
      <c r="D53" s="158" t="s">
        <v>133</v>
      </c>
      <c r="E53" s="74">
        <v>1846</v>
      </c>
      <c r="F53" s="74">
        <f>1846+738.4</f>
        <v>2584.4</v>
      </c>
      <c r="G53" s="50">
        <f>1846*0.075</f>
        <v>138.44999999999999</v>
      </c>
      <c r="H53" s="50">
        <f>1846*0.1425</f>
        <v>263.05499999999995</v>
      </c>
      <c r="I53" s="51">
        <f t="shared" si="0"/>
        <v>100.16000000000004</v>
      </c>
      <c r="J53" s="52"/>
      <c r="K53" s="52">
        <v>0</v>
      </c>
      <c r="L53" s="53"/>
      <c r="M53" s="54">
        <f t="shared" si="2"/>
        <v>2345.79</v>
      </c>
      <c r="N53" s="55">
        <f t="shared" si="1"/>
        <v>2847.4549999999999</v>
      </c>
      <c r="O53" s="33" t="s">
        <v>69</v>
      </c>
      <c r="P53" s="60" t="s">
        <v>200</v>
      </c>
      <c r="Q53" s="60" t="s">
        <v>201</v>
      </c>
      <c r="R53" s="61" t="s">
        <v>59</v>
      </c>
      <c r="S53" s="62">
        <v>323111</v>
      </c>
      <c r="T53" s="60" t="s">
        <v>56</v>
      </c>
    </row>
    <row r="54" spans="1:22" x14ac:dyDescent="0.2">
      <c r="A54" s="45">
        <v>49</v>
      </c>
      <c r="B54" s="71" t="s">
        <v>202</v>
      </c>
      <c r="C54" s="46" t="s">
        <v>203</v>
      </c>
      <c r="D54" s="158" t="s">
        <v>505</v>
      </c>
      <c r="E54" s="163">
        <v>533</v>
      </c>
      <c r="F54" s="164">
        <f>533+64</f>
        <v>597</v>
      </c>
      <c r="G54" s="50">
        <f>320*0.075</f>
        <v>24</v>
      </c>
      <c r="H54" s="50">
        <f>320*0.1425</f>
        <v>45.599999999999994</v>
      </c>
      <c r="I54" s="51">
        <f t="shared" si="0"/>
        <v>0</v>
      </c>
      <c r="J54" s="52"/>
      <c r="K54" s="52">
        <v>0</v>
      </c>
      <c r="L54" s="53"/>
      <c r="M54" s="54">
        <f t="shared" si="2"/>
        <v>573</v>
      </c>
      <c r="N54" s="55">
        <f t="shared" si="1"/>
        <v>642.6</v>
      </c>
      <c r="O54" s="33" t="s">
        <v>54</v>
      </c>
      <c r="P54" s="60" t="s">
        <v>202</v>
      </c>
      <c r="Q54" s="60" t="s">
        <v>203</v>
      </c>
      <c r="R54" s="61" t="s">
        <v>59</v>
      </c>
      <c r="S54" s="77">
        <v>326111</v>
      </c>
      <c r="T54" s="60" t="s">
        <v>56</v>
      </c>
    </row>
    <row r="55" spans="1:22" x14ac:dyDescent="0.2">
      <c r="A55" s="45">
        <v>50</v>
      </c>
      <c r="B55" s="71" t="s">
        <v>205</v>
      </c>
      <c r="C55" s="46" t="s">
        <v>206</v>
      </c>
      <c r="D55" s="158" t="s">
        <v>207</v>
      </c>
      <c r="E55" s="79">
        <v>1562</v>
      </c>
      <c r="F55" s="52">
        <f>1562+390.5</f>
        <v>1952.5</v>
      </c>
      <c r="G55" s="50">
        <f>1562*0.075</f>
        <v>117.14999999999999</v>
      </c>
      <c r="H55" s="50">
        <f>1562*0.1425</f>
        <v>222.58499999999998</v>
      </c>
      <c r="I55" s="51">
        <f t="shared" si="0"/>
        <v>117.875</v>
      </c>
      <c r="J55" s="52"/>
      <c r="K55" s="52">
        <v>0</v>
      </c>
      <c r="L55" s="53"/>
      <c r="M55" s="54">
        <f t="shared" si="2"/>
        <v>1717.4749999999999</v>
      </c>
      <c r="N55" s="55">
        <f t="shared" si="1"/>
        <v>2175.085</v>
      </c>
      <c r="O55" s="33" t="s">
        <v>54</v>
      </c>
      <c r="P55" s="60" t="s">
        <v>205</v>
      </c>
      <c r="Q55" s="60" t="s">
        <v>206</v>
      </c>
      <c r="R55" s="61" t="s">
        <v>59</v>
      </c>
      <c r="S55" s="77">
        <v>329111</v>
      </c>
      <c r="T55" s="60" t="s">
        <v>56</v>
      </c>
      <c r="U55">
        <v>1948.9433333333334</v>
      </c>
      <c r="V55">
        <f>U55-M55</f>
        <v>231.46833333333348</v>
      </c>
    </row>
    <row r="56" spans="1:22" x14ac:dyDescent="0.2">
      <c r="A56" s="45">
        <v>51</v>
      </c>
      <c r="B56" s="71" t="s">
        <v>208</v>
      </c>
      <c r="C56" s="46" t="s">
        <v>209</v>
      </c>
      <c r="D56" s="158" t="s">
        <v>210</v>
      </c>
      <c r="E56" s="74">
        <v>2980</v>
      </c>
      <c r="F56" s="52">
        <f>2980+790.35</f>
        <v>3770.35</v>
      </c>
      <c r="G56" s="50">
        <f>2980*0.075</f>
        <v>223.5</v>
      </c>
      <c r="H56" s="50">
        <f>2980*0.1425</f>
        <v>424.65</v>
      </c>
      <c r="I56" s="51">
        <f t="shared" si="0"/>
        <v>359.25416666666661</v>
      </c>
      <c r="J56" s="52"/>
      <c r="K56" s="52">
        <v>0</v>
      </c>
      <c r="L56" s="53"/>
      <c r="M56" s="54">
        <f t="shared" si="2"/>
        <v>3187.5958333333333</v>
      </c>
      <c r="N56" s="55">
        <f t="shared" si="1"/>
        <v>4195</v>
      </c>
      <c r="O56" s="33" t="s">
        <v>69</v>
      </c>
      <c r="P56" s="60" t="s">
        <v>208</v>
      </c>
      <c r="Q56" s="60" t="s">
        <v>209</v>
      </c>
      <c r="R56" s="61" t="s">
        <v>59</v>
      </c>
      <c r="S56" s="77">
        <v>329111</v>
      </c>
      <c r="T56" s="60" t="s">
        <v>56</v>
      </c>
    </row>
    <row r="57" spans="1:22" x14ac:dyDescent="0.2">
      <c r="A57" s="45">
        <v>52</v>
      </c>
      <c r="B57" s="71" t="s">
        <v>211</v>
      </c>
      <c r="C57" s="46" t="s">
        <v>212</v>
      </c>
      <c r="D57" s="158" t="s">
        <v>213</v>
      </c>
      <c r="E57" s="74">
        <v>1350</v>
      </c>
      <c r="F57" s="52">
        <f>1350+540</f>
        <v>1890</v>
      </c>
      <c r="G57" s="50">
        <f t="shared" ref="G57:G89" si="7">E57*0.075</f>
        <v>101.25</v>
      </c>
      <c r="H57" s="50">
        <f t="shared" ref="H57:H89" si="8">E57*0.1425</f>
        <v>192.37499999999997</v>
      </c>
      <c r="I57" s="51">
        <f t="shared" si="0"/>
        <v>108.5</v>
      </c>
      <c r="J57" s="52"/>
      <c r="K57" s="52">
        <v>0</v>
      </c>
      <c r="L57" s="53"/>
      <c r="M57" s="54">
        <f t="shared" si="2"/>
        <v>1680.25</v>
      </c>
      <c r="N57" s="55">
        <f t="shared" si="1"/>
        <v>2082.375</v>
      </c>
      <c r="O57" s="33" t="s">
        <v>54</v>
      </c>
      <c r="P57" s="60" t="s">
        <v>211</v>
      </c>
      <c r="Q57" s="60" t="s">
        <v>212</v>
      </c>
      <c r="R57" s="61" t="s">
        <v>59</v>
      </c>
      <c r="S57" s="77">
        <v>329111</v>
      </c>
      <c r="T57" s="60" t="s">
        <v>56</v>
      </c>
    </row>
    <row r="58" spans="1:22" x14ac:dyDescent="0.2">
      <c r="A58" s="45">
        <v>53</v>
      </c>
      <c r="B58" s="71" t="s">
        <v>214</v>
      </c>
      <c r="C58" s="46" t="s">
        <v>215</v>
      </c>
      <c r="D58" s="158" t="s">
        <v>216</v>
      </c>
      <c r="E58" s="74">
        <v>1846</v>
      </c>
      <c r="F58" s="52">
        <f>1846+738.4</f>
        <v>2584.4</v>
      </c>
      <c r="G58" s="50">
        <f t="shared" si="7"/>
        <v>138.44999999999999</v>
      </c>
      <c r="H58" s="50">
        <f t="shared" si="8"/>
        <v>263.05499999999995</v>
      </c>
      <c r="I58" s="51">
        <f t="shared" si="0"/>
        <v>250.26666666666674</v>
      </c>
      <c r="J58" s="52"/>
      <c r="K58" s="52">
        <v>0</v>
      </c>
      <c r="L58" s="53"/>
      <c r="M58" s="54">
        <f t="shared" si="2"/>
        <v>2195.6833333333334</v>
      </c>
      <c r="N58" s="55">
        <f t="shared" si="1"/>
        <v>2847.4549999999999</v>
      </c>
      <c r="O58" s="33" t="s">
        <v>54</v>
      </c>
      <c r="P58" s="60" t="s">
        <v>214</v>
      </c>
      <c r="Q58" s="60" t="s">
        <v>215</v>
      </c>
      <c r="R58" s="61" t="s">
        <v>55</v>
      </c>
      <c r="S58" s="77">
        <v>325311</v>
      </c>
      <c r="T58" s="60" t="s">
        <v>56</v>
      </c>
    </row>
    <row r="59" spans="1:22" x14ac:dyDescent="0.2">
      <c r="A59" s="45">
        <v>54</v>
      </c>
      <c r="B59" s="71" t="s">
        <v>220</v>
      </c>
      <c r="C59" s="46" t="s">
        <v>221</v>
      </c>
      <c r="D59" s="158" t="s">
        <v>222</v>
      </c>
      <c r="E59" s="74">
        <v>2485</v>
      </c>
      <c r="F59" s="52">
        <f>2485+497</f>
        <v>2982</v>
      </c>
      <c r="G59" s="50">
        <f t="shared" si="7"/>
        <v>186.375</v>
      </c>
      <c r="H59" s="50">
        <f t="shared" si="8"/>
        <v>354.11249999999995</v>
      </c>
      <c r="I59" s="51">
        <f t="shared" si="0"/>
        <v>349.66666666666669</v>
      </c>
      <c r="J59" s="52"/>
      <c r="K59" s="52">
        <v>0</v>
      </c>
      <c r="L59" s="53"/>
      <c r="M59" s="54">
        <f t="shared" si="2"/>
        <v>2445.958333333333</v>
      </c>
      <c r="N59" s="55">
        <f t="shared" si="1"/>
        <v>3336.1125000000002</v>
      </c>
      <c r="O59" s="33" t="s">
        <v>54</v>
      </c>
      <c r="P59" s="60" t="s">
        <v>220</v>
      </c>
      <c r="Q59" s="60" t="s">
        <v>221</v>
      </c>
      <c r="R59" s="61" t="s">
        <v>223</v>
      </c>
      <c r="S59" s="77">
        <v>323111</v>
      </c>
      <c r="T59" s="60" t="s">
        <v>56</v>
      </c>
    </row>
    <row r="60" spans="1:22" x14ac:dyDescent="0.2">
      <c r="A60" s="45">
        <v>55</v>
      </c>
      <c r="B60" s="71" t="s">
        <v>224</v>
      </c>
      <c r="C60" s="46" t="s">
        <v>225</v>
      </c>
      <c r="D60" s="158" t="s">
        <v>226</v>
      </c>
      <c r="E60" s="74">
        <v>530</v>
      </c>
      <c r="F60" s="52">
        <f>530+185.5</f>
        <v>715.5</v>
      </c>
      <c r="G60" s="50">
        <f t="shared" si="7"/>
        <v>39.75</v>
      </c>
      <c r="H60" s="50">
        <f t="shared" si="8"/>
        <v>75.524999999999991</v>
      </c>
      <c r="I60" s="51">
        <f t="shared" si="0"/>
        <v>0</v>
      </c>
      <c r="J60" s="52"/>
      <c r="K60" s="52">
        <v>0</v>
      </c>
      <c r="L60" s="53"/>
      <c r="M60" s="54">
        <f t="shared" si="2"/>
        <v>675.75</v>
      </c>
      <c r="N60" s="55">
        <f t="shared" si="1"/>
        <v>791.02499999999998</v>
      </c>
      <c r="O60" s="33" t="s">
        <v>54</v>
      </c>
      <c r="P60" s="60" t="s">
        <v>224</v>
      </c>
      <c r="Q60" s="60" t="s">
        <v>225</v>
      </c>
      <c r="R60" s="61" t="s">
        <v>55</v>
      </c>
      <c r="S60" s="77">
        <v>323111</v>
      </c>
      <c r="T60" s="60" t="s">
        <v>56</v>
      </c>
    </row>
    <row r="61" spans="1:22" x14ac:dyDescent="0.2">
      <c r="A61" s="45">
        <v>56</v>
      </c>
      <c r="B61" s="71" t="s">
        <v>227</v>
      </c>
      <c r="C61" s="46" t="s">
        <v>228</v>
      </c>
      <c r="D61" s="158" t="s">
        <v>229</v>
      </c>
      <c r="E61" s="74">
        <v>2600</v>
      </c>
      <c r="F61" s="52">
        <v>2600</v>
      </c>
      <c r="G61" s="50">
        <f t="shared" si="7"/>
        <v>195</v>
      </c>
      <c r="H61" s="50">
        <f t="shared" si="8"/>
        <v>370.49999999999994</v>
      </c>
      <c r="I61" s="51">
        <f t="shared" si="0"/>
        <v>254.16666666666666</v>
      </c>
      <c r="J61" s="52"/>
      <c r="K61" s="52">
        <v>0</v>
      </c>
      <c r="L61" s="53"/>
      <c r="M61" s="54">
        <f t="shared" si="2"/>
        <v>2150.8333333333335</v>
      </c>
      <c r="N61" s="55">
        <f t="shared" si="1"/>
        <v>2970.5</v>
      </c>
      <c r="O61" s="33" t="s">
        <v>54</v>
      </c>
      <c r="P61" s="60" t="s">
        <v>227</v>
      </c>
      <c r="Q61" s="60" t="s">
        <v>228</v>
      </c>
      <c r="R61" s="61" t="s">
        <v>55</v>
      </c>
      <c r="S61" s="77">
        <v>325311</v>
      </c>
      <c r="T61" s="60" t="s">
        <v>56</v>
      </c>
    </row>
    <row r="62" spans="1:22" x14ac:dyDescent="0.2">
      <c r="A62" s="45">
        <v>57</v>
      </c>
      <c r="B62" s="71" t="s">
        <v>230</v>
      </c>
      <c r="C62" s="46" t="s">
        <v>231</v>
      </c>
      <c r="D62" s="158" t="s">
        <v>232</v>
      </c>
      <c r="E62" s="74">
        <v>1100</v>
      </c>
      <c r="F62" s="52">
        <f>1100+253</f>
        <v>1353</v>
      </c>
      <c r="G62" s="50">
        <f t="shared" si="7"/>
        <v>82.5</v>
      </c>
      <c r="H62" s="50">
        <f t="shared" si="8"/>
        <v>156.75</v>
      </c>
      <c r="I62" s="51">
        <f t="shared" si="0"/>
        <v>39.466666666666669</v>
      </c>
      <c r="J62" s="52"/>
      <c r="K62" s="52">
        <v>0</v>
      </c>
      <c r="L62" s="53"/>
      <c r="M62" s="54">
        <f t="shared" si="2"/>
        <v>1231.0333333333333</v>
      </c>
      <c r="N62" s="55">
        <f t="shared" si="1"/>
        <v>1509.75</v>
      </c>
      <c r="O62" s="33" t="s">
        <v>54</v>
      </c>
      <c r="P62" s="60" t="s">
        <v>230</v>
      </c>
      <c r="Q62" s="60" t="s">
        <v>231</v>
      </c>
      <c r="R62" s="61"/>
      <c r="S62" s="77">
        <v>325311</v>
      </c>
      <c r="T62" s="60" t="s">
        <v>56</v>
      </c>
    </row>
    <row r="63" spans="1:22" x14ac:dyDescent="0.2">
      <c r="A63" s="45">
        <v>58</v>
      </c>
      <c r="B63" s="71" t="s">
        <v>233</v>
      </c>
      <c r="C63" s="46" t="s">
        <v>234</v>
      </c>
      <c r="D63" s="158" t="s">
        <v>518</v>
      </c>
      <c r="E63" s="80">
        <v>395</v>
      </c>
      <c r="F63" s="81">
        <f>395+138.25</f>
        <v>533.25</v>
      </c>
      <c r="G63" s="50">
        <f t="shared" si="7"/>
        <v>29.625</v>
      </c>
      <c r="H63" s="50">
        <f t="shared" si="8"/>
        <v>56.287499999999994</v>
      </c>
      <c r="I63" s="51">
        <f t="shared" si="0"/>
        <v>0</v>
      </c>
      <c r="J63" s="52"/>
      <c r="K63" s="52">
        <v>0</v>
      </c>
      <c r="L63" s="53"/>
      <c r="M63" s="54">
        <f t="shared" si="2"/>
        <v>503.625</v>
      </c>
      <c r="N63" s="55">
        <f t="shared" si="1"/>
        <v>589.53750000000002</v>
      </c>
      <c r="O63" s="33" t="s">
        <v>54</v>
      </c>
      <c r="P63" s="60" t="s">
        <v>233</v>
      </c>
      <c r="Q63" s="60" t="s">
        <v>234</v>
      </c>
      <c r="R63" s="61"/>
      <c r="S63" s="77">
        <v>329111</v>
      </c>
      <c r="T63" s="60" t="s">
        <v>56</v>
      </c>
    </row>
    <row r="64" spans="1:22" x14ac:dyDescent="0.2">
      <c r="A64" s="45">
        <v>59</v>
      </c>
      <c r="B64" s="71" t="s">
        <v>235</v>
      </c>
      <c r="C64" s="46" t="s">
        <v>236</v>
      </c>
      <c r="D64" s="158" t="s">
        <v>518</v>
      </c>
      <c r="E64" s="80">
        <v>395</v>
      </c>
      <c r="F64" s="81">
        <f>395+98.75</f>
        <v>493.75</v>
      </c>
      <c r="G64" s="50">
        <f t="shared" si="7"/>
        <v>29.625</v>
      </c>
      <c r="H64" s="50">
        <f t="shared" si="8"/>
        <v>56.287499999999994</v>
      </c>
      <c r="I64" s="51">
        <f t="shared" si="0"/>
        <v>0</v>
      </c>
      <c r="J64" s="52"/>
      <c r="K64" s="52">
        <v>0</v>
      </c>
      <c r="L64" s="53"/>
      <c r="M64" s="54">
        <f t="shared" si="2"/>
        <v>464.125</v>
      </c>
      <c r="N64" s="55">
        <f t="shared" si="1"/>
        <v>550.03750000000002</v>
      </c>
      <c r="O64" s="33" t="s">
        <v>54</v>
      </c>
      <c r="P64" s="60" t="s">
        <v>235</v>
      </c>
      <c r="Q64" s="60" t="s">
        <v>236</v>
      </c>
      <c r="R64" s="61"/>
      <c r="S64" s="77">
        <v>329111</v>
      </c>
      <c r="T64" s="60" t="s">
        <v>56</v>
      </c>
    </row>
    <row r="65" spans="1:20" x14ac:dyDescent="0.2">
      <c r="A65" s="45">
        <v>60</v>
      </c>
      <c r="B65" s="71" t="s">
        <v>237</v>
      </c>
      <c r="C65" s="46" t="s">
        <v>238</v>
      </c>
      <c r="D65" s="158" t="s">
        <v>239</v>
      </c>
      <c r="E65" s="74">
        <v>3000</v>
      </c>
      <c r="F65" s="52">
        <f>3000+1200</f>
        <v>4200</v>
      </c>
      <c r="G65" s="50">
        <f t="shared" si="7"/>
        <v>225</v>
      </c>
      <c r="H65" s="50">
        <f t="shared" si="8"/>
        <v>427.49999999999994</v>
      </c>
      <c r="I65" s="51">
        <f t="shared" si="0"/>
        <v>466.66666666666669</v>
      </c>
      <c r="J65" s="52"/>
      <c r="K65" s="52">
        <v>0</v>
      </c>
      <c r="L65" s="53"/>
      <c r="M65" s="54">
        <f t="shared" si="2"/>
        <v>3508.333333333333</v>
      </c>
      <c r="N65" s="55">
        <f t="shared" si="1"/>
        <v>4627.5</v>
      </c>
      <c r="O65" s="33" t="s">
        <v>69</v>
      </c>
      <c r="P65" s="60" t="s">
        <v>237</v>
      </c>
      <c r="Q65" s="60" t="s">
        <v>238</v>
      </c>
      <c r="R65" s="61"/>
      <c r="S65" s="77">
        <v>323111</v>
      </c>
      <c r="T65" s="60" t="s">
        <v>240</v>
      </c>
    </row>
    <row r="66" spans="1:20" x14ac:dyDescent="0.2">
      <c r="A66" s="45">
        <v>61</v>
      </c>
      <c r="B66" s="71" t="s">
        <v>241</v>
      </c>
      <c r="C66" s="46" t="s">
        <v>242</v>
      </c>
      <c r="D66" s="158" t="s">
        <v>243</v>
      </c>
      <c r="E66" s="74">
        <v>1136</v>
      </c>
      <c r="F66" s="52">
        <v>1136</v>
      </c>
      <c r="G66" s="50">
        <f t="shared" si="7"/>
        <v>85.2</v>
      </c>
      <c r="H66" s="50">
        <f t="shared" si="8"/>
        <v>161.88</v>
      </c>
      <c r="I66" s="51">
        <f t="shared" si="0"/>
        <v>19.3</v>
      </c>
      <c r="J66" s="52"/>
      <c r="K66" s="52">
        <v>0</v>
      </c>
      <c r="L66" s="53"/>
      <c r="M66" s="54">
        <f t="shared" si="2"/>
        <v>1031.5</v>
      </c>
      <c r="N66" s="55">
        <f t="shared" si="1"/>
        <v>1297.8800000000001</v>
      </c>
      <c r="O66" s="33" t="s">
        <v>54</v>
      </c>
      <c r="P66" s="60" t="s">
        <v>241</v>
      </c>
      <c r="Q66" s="60" t="s">
        <v>242</v>
      </c>
      <c r="R66" s="61"/>
      <c r="S66" s="77">
        <v>327111</v>
      </c>
      <c r="T66" s="60" t="s">
        <v>56</v>
      </c>
    </row>
    <row r="67" spans="1:20" x14ac:dyDescent="0.2">
      <c r="A67" s="45">
        <v>62</v>
      </c>
      <c r="B67" s="71" t="s">
        <v>246</v>
      </c>
      <c r="C67" s="46" t="s">
        <v>247</v>
      </c>
      <c r="D67" s="158" t="s">
        <v>216</v>
      </c>
      <c r="E67" s="74">
        <v>1915</v>
      </c>
      <c r="F67" s="52">
        <f>1915+574.46</f>
        <v>2489.46</v>
      </c>
      <c r="G67" s="50">
        <f t="shared" si="7"/>
        <v>143.625</v>
      </c>
      <c r="H67" s="50">
        <f t="shared" si="8"/>
        <v>272.88749999999999</v>
      </c>
      <c r="I67" s="51">
        <f t="shared" si="0"/>
        <v>85.918999999999997</v>
      </c>
      <c r="J67" s="52"/>
      <c r="K67" s="52">
        <v>0</v>
      </c>
      <c r="L67" s="53"/>
      <c r="M67" s="54">
        <f t="shared" si="2"/>
        <v>2259.9160000000002</v>
      </c>
      <c r="N67" s="55">
        <f t="shared" si="1"/>
        <v>2762.3474999999999</v>
      </c>
      <c r="O67" s="33" t="s">
        <v>69</v>
      </c>
      <c r="P67" s="60" t="s">
        <v>246</v>
      </c>
      <c r="Q67" s="60" t="s">
        <v>247</v>
      </c>
      <c r="R67" s="61"/>
      <c r="S67" s="77">
        <v>325311</v>
      </c>
      <c r="T67" s="60" t="s">
        <v>56</v>
      </c>
    </row>
    <row r="68" spans="1:20" x14ac:dyDescent="0.2">
      <c r="A68" s="45">
        <v>63</v>
      </c>
      <c r="B68" s="84" t="s">
        <v>248</v>
      </c>
      <c r="C68" s="46" t="s">
        <v>249</v>
      </c>
      <c r="D68" s="158" t="s">
        <v>250</v>
      </c>
      <c r="E68" s="74">
        <v>1207</v>
      </c>
      <c r="F68" s="52">
        <f>1207+362.1</f>
        <v>1569.1</v>
      </c>
      <c r="G68" s="50">
        <f t="shared" si="7"/>
        <v>90.524999999999991</v>
      </c>
      <c r="H68" s="50">
        <f t="shared" si="8"/>
        <v>171.99749999999997</v>
      </c>
      <c r="I68" s="51">
        <f t="shared" si="0"/>
        <v>61.076666666666647</v>
      </c>
      <c r="J68" s="52"/>
      <c r="K68" s="52">
        <v>0</v>
      </c>
      <c r="L68" s="53"/>
      <c r="M68" s="54">
        <f t="shared" si="2"/>
        <v>1417.4983333333332</v>
      </c>
      <c r="N68" s="55">
        <f t="shared" si="1"/>
        <v>1741.0974999999999</v>
      </c>
      <c r="O68" s="33" t="s">
        <v>54</v>
      </c>
      <c r="P68" s="60" t="s">
        <v>248</v>
      </c>
      <c r="Q68" s="60" t="s">
        <v>249</v>
      </c>
      <c r="R68" s="85"/>
      <c r="S68" s="58">
        <v>325411</v>
      </c>
      <c r="T68" s="56" t="s">
        <v>56</v>
      </c>
    </row>
    <row r="69" spans="1:20" x14ac:dyDescent="0.2">
      <c r="A69" s="45">
        <v>64</v>
      </c>
      <c r="B69" s="84" t="s">
        <v>251</v>
      </c>
      <c r="C69" s="46" t="s">
        <v>252</v>
      </c>
      <c r="D69" s="158" t="s">
        <v>253</v>
      </c>
      <c r="E69" s="74">
        <v>1560</v>
      </c>
      <c r="F69" s="52">
        <f>1560+624</f>
        <v>2184</v>
      </c>
      <c r="G69" s="50">
        <f t="shared" si="7"/>
        <v>117</v>
      </c>
      <c r="H69" s="50">
        <f t="shared" si="8"/>
        <v>222.29999999999998</v>
      </c>
      <c r="I69" s="51">
        <f t="shared" ref="I69:I132" si="9">(IF((O69="No"),(IF((($F69*12)-9000)&lt;0,0,(IF((($F69*12)-9000)&gt;20000,(5000*5%+5000*10%+5000*15%+5000*20%+((($F69*12)-9000)-20000)*25%),IF((($F69*12)-9000)&gt;15000,(5000*5%+5000*10%+5000*15%+((($F69*12)-9000)-15000)*20%),IF((($F69*12)-9000)&gt;10000,(5000*5%+5000*10%+((($F69*12)-9000)-10000)*15%),IF((($F69*12)-9000)&gt;5000,(5000*5%+((($F69*12)-9000)-5000)*10%),IF((($F69*12)-9000)&lt;5000,(($F69*12)-9000)*5%)))))))),((IF((($F69*12)-18000)&lt;0,0,(IF((($F69*12)-18000)&gt;20000,(5000*5%+5000*10%+5000*15%+5000*20%+((($F69*12)-18000)-20000)*25%),IF((($F69*12)-18000)&gt;15000,(5000*5%+5000*10%+5000*15%+((($F69*12)-18000)-15000)*20%),IF((($F69*12)-18000)&gt;10000,(5000*5%+5000*10%+((($F69*12)-18000)-10000)*15%),IF((($F69*12)-18000)&gt;5000,(5000*5%+((($F69*12)-18000)-5000)*10%),IF((($F69*12)-18000)&lt;5000,(($F69*12)-18000)*5%))))))))))/12)</f>
        <v>161.79999999999998</v>
      </c>
      <c r="J69" s="52"/>
      <c r="K69" s="52">
        <v>0</v>
      </c>
      <c r="L69" s="53"/>
      <c r="M69" s="54">
        <f t="shared" si="2"/>
        <v>1905.2</v>
      </c>
      <c r="N69" s="55">
        <f t="shared" ref="N69:N109" si="10">F69+H69</f>
        <v>2406.3000000000002</v>
      </c>
      <c r="O69" s="33" t="s">
        <v>54</v>
      </c>
      <c r="P69" s="60" t="s">
        <v>251</v>
      </c>
      <c r="Q69" s="60" t="s">
        <v>252</v>
      </c>
      <c r="R69" s="85"/>
      <c r="S69" s="62">
        <v>318223</v>
      </c>
      <c r="T69" s="60" t="s">
        <v>254</v>
      </c>
    </row>
    <row r="70" spans="1:20" x14ac:dyDescent="0.2">
      <c r="A70" s="45">
        <v>65</v>
      </c>
      <c r="B70" s="84" t="s">
        <v>255</v>
      </c>
      <c r="C70" s="46" t="s">
        <v>461</v>
      </c>
      <c r="D70" s="158" t="s">
        <v>257</v>
      </c>
      <c r="E70" s="74">
        <v>2500</v>
      </c>
      <c r="F70" s="52">
        <v>2500</v>
      </c>
      <c r="G70" s="50">
        <f t="shared" si="7"/>
        <v>187.5</v>
      </c>
      <c r="H70" s="50">
        <f t="shared" si="8"/>
        <v>356.24999999999994</v>
      </c>
      <c r="I70" s="51">
        <f t="shared" si="9"/>
        <v>87.5</v>
      </c>
      <c r="J70" s="52"/>
      <c r="K70" s="52">
        <v>0</v>
      </c>
      <c r="L70" s="53"/>
      <c r="M70" s="54">
        <f t="shared" ref="M70:M133" si="11">(F70+K70)-SUM(G70,I70,J70,L70)</f>
        <v>2225</v>
      </c>
      <c r="N70" s="55">
        <f t="shared" si="10"/>
        <v>2856.25</v>
      </c>
      <c r="O70" s="33" t="s">
        <v>69</v>
      </c>
      <c r="P70" s="60" t="s">
        <v>255</v>
      </c>
      <c r="Q70" s="60" t="s">
        <v>256</v>
      </c>
      <c r="R70" s="85"/>
      <c r="S70" s="62">
        <v>323111</v>
      </c>
      <c r="T70" s="60" t="s">
        <v>240</v>
      </c>
    </row>
    <row r="71" spans="1:20" x14ac:dyDescent="0.2">
      <c r="A71" s="45">
        <v>66</v>
      </c>
      <c r="B71" s="84" t="s">
        <v>258</v>
      </c>
      <c r="C71" s="46" t="s">
        <v>259</v>
      </c>
      <c r="D71" s="158" t="s">
        <v>260</v>
      </c>
      <c r="E71" s="74">
        <v>700</v>
      </c>
      <c r="F71" s="52">
        <v>700</v>
      </c>
      <c r="G71" s="50">
        <f t="shared" si="7"/>
        <v>52.5</v>
      </c>
      <c r="H71" s="50">
        <f t="shared" si="8"/>
        <v>99.749999999999986</v>
      </c>
      <c r="I71" s="51">
        <f t="shared" si="9"/>
        <v>0</v>
      </c>
      <c r="J71" s="52"/>
      <c r="K71" s="52">
        <v>0</v>
      </c>
      <c r="L71" s="53"/>
      <c r="M71" s="54">
        <f t="shared" si="11"/>
        <v>647.5</v>
      </c>
      <c r="N71" s="55">
        <f t="shared" si="10"/>
        <v>799.75</v>
      </c>
      <c r="O71" s="33" t="s">
        <v>54</v>
      </c>
      <c r="P71" s="60" t="s">
        <v>258</v>
      </c>
      <c r="Q71" s="60" t="s">
        <v>259</v>
      </c>
      <c r="R71" s="85"/>
      <c r="S71" s="62">
        <v>131111</v>
      </c>
      <c r="T71" s="60" t="s">
        <v>164</v>
      </c>
    </row>
    <row r="72" spans="1:20" x14ac:dyDescent="0.2">
      <c r="A72" s="45">
        <v>67</v>
      </c>
      <c r="B72" s="84" t="s">
        <v>265</v>
      </c>
      <c r="C72" s="46" t="s">
        <v>266</v>
      </c>
      <c r="D72" s="158" t="s">
        <v>263</v>
      </c>
      <c r="E72" s="74">
        <v>1560</v>
      </c>
      <c r="F72" s="52">
        <f>1560+390</f>
        <v>1950</v>
      </c>
      <c r="G72" s="50">
        <f t="shared" si="7"/>
        <v>117</v>
      </c>
      <c r="H72" s="50">
        <f t="shared" si="8"/>
        <v>222.29999999999998</v>
      </c>
      <c r="I72" s="51">
        <f t="shared" si="9"/>
        <v>24.166666666666668</v>
      </c>
      <c r="J72" s="52"/>
      <c r="K72" s="52">
        <v>0</v>
      </c>
      <c r="L72" s="53"/>
      <c r="M72" s="54">
        <f t="shared" si="11"/>
        <v>1808.8333333333333</v>
      </c>
      <c r="N72" s="55">
        <f t="shared" si="10"/>
        <v>2172.3000000000002</v>
      </c>
      <c r="O72" s="33" t="s">
        <v>69</v>
      </c>
      <c r="P72" s="60" t="s">
        <v>265</v>
      </c>
      <c r="Q72" s="60" t="s">
        <v>266</v>
      </c>
      <c r="R72" s="85"/>
      <c r="S72" s="62">
        <v>329111</v>
      </c>
      <c r="T72" s="60" t="s">
        <v>264</v>
      </c>
    </row>
    <row r="73" spans="1:20" x14ac:dyDescent="0.2">
      <c r="A73" s="45">
        <v>68</v>
      </c>
      <c r="B73" s="84" t="s">
        <v>267</v>
      </c>
      <c r="C73" s="46" t="s">
        <v>268</v>
      </c>
      <c r="D73" s="158" t="s">
        <v>269</v>
      </c>
      <c r="E73" s="74">
        <v>1420</v>
      </c>
      <c r="F73" s="52">
        <f>1420+355</f>
        <v>1775</v>
      </c>
      <c r="G73" s="50">
        <f t="shared" si="7"/>
        <v>106.5</v>
      </c>
      <c r="H73" s="50">
        <f t="shared" si="8"/>
        <v>202.35</v>
      </c>
      <c r="I73" s="51">
        <f t="shared" si="9"/>
        <v>91.25</v>
      </c>
      <c r="J73" s="52"/>
      <c r="K73" s="52">
        <v>0</v>
      </c>
      <c r="L73" s="53"/>
      <c r="M73" s="54">
        <f t="shared" si="11"/>
        <v>1577.25</v>
      </c>
      <c r="N73" s="55">
        <f t="shared" si="10"/>
        <v>1977.35</v>
      </c>
      <c r="O73" s="33" t="s">
        <v>54</v>
      </c>
      <c r="P73" s="60" t="s">
        <v>267</v>
      </c>
      <c r="Q73" s="60" t="s">
        <v>268</v>
      </c>
      <c r="R73" s="85"/>
      <c r="S73" s="62">
        <v>329111</v>
      </c>
      <c r="T73" s="60" t="s">
        <v>264</v>
      </c>
    </row>
    <row r="74" spans="1:20" x14ac:dyDescent="0.2">
      <c r="A74" s="45">
        <v>69</v>
      </c>
      <c r="B74" s="84" t="s">
        <v>270</v>
      </c>
      <c r="C74" s="46" t="s">
        <v>271</v>
      </c>
      <c r="D74" s="158" t="s">
        <v>250</v>
      </c>
      <c r="E74" s="74">
        <v>1207</v>
      </c>
      <c r="F74" s="52">
        <f>1207+362.1</f>
        <v>1569.1</v>
      </c>
      <c r="G74" s="50">
        <f t="shared" si="7"/>
        <v>90.524999999999991</v>
      </c>
      <c r="H74" s="50">
        <f t="shared" si="8"/>
        <v>171.99749999999997</v>
      </c>
      <c r="I74" s="51">
        <f t="shared" si="9"/>
        <v>61.076666666666647</v>
      </c>
      <c r="J74" s="52"/>
      <c r="K74" s="52">
        <v>0</v>
      </c>
      <c r="L74" s="53"/>
      <c r="M74" s="54">
        <f t="shared" si="11"/>
        <v>1417.4983333333332</v>
      </c>
      <c r="N74" s="55">
        <f t="shared" si="10"/>
        <v>1741.0974999999999</v>
      </c>
      <c r="O74" s="33" t="s">
        <v>54</v>
      </c>
      <c r="P74" s="60" t="s">
        <v>270</v>
      </c>
      <c r="Q74" s="60" t="s">
        <v>271</v>
      </c>
      <c r="R74" s="85"/>
      <c r="S74" s="58">
        <v>325411</v>
      </c>
      <c r="T74" s="56" t="s">
        <v>56</v>
      </c>
    </row>
    <row r="75" spans="1:20" x14ac:dyDescent="0.2">
      <c r="A75" s="45">
        <v>70</v>
      </c>
      <c r="B75" s="84" t="s">
        <v>272</v>
      </c>
      <c r="C75" s="46" t="s">
        <v>273</v>
      </c>
      <c r="D75" s="158" t="s">
        <v>274</v>
      </c>
      <c r="E75" s="74">
        <v>675</v>
      </c>
      <c r="F75" s="52">
        <f>675+245.45</f>
        <v>920.45</v>
      </c>
      <c r="G75" s="50">
        <f t="shared" si="7"/>
        <v>50.625</v>
      </c>
      <c r="H75" s="50">
        <f t="shared" si="8"/>
        <v>96.187499999999986</v>
      </c>
      <c r="I75" s="51">
        <f t="shared" si="9"/>
        <v>8.5225000000000062</v>
      </c>
      <c r="J75" s="52"/>
      <c r="K75" s="52">
        <v>0</v>
      </c>
      <c r="L75" s="53"/>
      <c r="M75" s="54">
        <f t="shared" si="11"/>
        <v>861.30250000000001</v>
      </c>
      <c r="N75" s="55">
        <f t="shared" si="10"/>
        <v>1016.6375</v>
      </c>
      <c r="O75" s="33" t="s">
        <v>54</v>
      </c>
      <c r="P75" s="60" t="s">
        <v>272</v>
      </c>
      <c r="Q75" s="60" t="s">
        <v>273</v>
      </c>
      <c r="R75" s="85"/>
      <c r="S75" s="62">
        <v>325411</v>
      </c>
      <c r="T75" s="60" t="s">
        <v>275</v>
      </c>
    </row>
    <row r="76" spans="1:20" x14ac:dyDescent="0.2">
      <c r="A76" s="45">
        <v>71</v>
      </c>
      <c r="B76" s="84" t="s">
        <v>276</v>
      </c>
      <c r="C76" s="46" t="s">
        <v>277</v>
      </c>
      <c r="D76" s="158" t="s">
        <v>278</v>
      </c>
      <c r="E76" s="74">
        <v>530</v>
      </c>
      <c r="F76" s="52">
        <f>530+205.57</f>
        <v>735.56999999999994</v>
      </c>
      <c r="G76" s="50">
        <f t="shared" si="7"/>
        <v>39.75</v>
      </c>
      <c r="H76" s="50">
        <f t="shared" si="8"/>
        <v>75.524999999999991</v>
      </c>
      <c r="I76" s="51">
        <f t="shared" si="9"/>
        <v>0</v>
      </c>
      <c r="J76" s="52"/>
      <c r="K76" s="52">
        <v>0</v>
      </c>
      <c r="L76" s="53"/>
      <c r="M76" s="54">
        <f t="shared" si="11"/>
        <v>695.81999999999994</v>
      </c>
      <c r="N76" s="55">
        <f t="shared" si="10"/>
        <v>811.09499999999991</v>
      </c>
      <c r="O76" s="33" t="s">
        <v>54</v>
      </c>
      <c r="P76" s="60" t="s">
        <v>276</v>
      </c>
      <c r="Q76" s="60" t="s">
        <v>277</v>
      </c>
      <c r="R76" s="85"/>
      <c r="S76" s="62">
        <v>325411</v>
      </c>
      <c r="T76" s="60" t="s">
        <v>275</v>
      </c>
    </row>
    <row r="77" spans="1:20" x14ac:dyDescent="0.2">
      <c r="A77" s="45">
        <v>72</v>
      </c>
      <c r="B77" s="84" t="s">
        <v>279</v>
      </c>
      <c r="C77" s="46" t="s">
        <v>280</v>
      </c>
      <c r="D77" s="158" t="s">
        <v>250</v>
      </c>
      <c r="E77" s="74">
        <v>1280</v>
      </c>
      <c r="F77" s="52">
        <f>1280+320</f>
        <v>1600</v>
      </c>
      <c r="G77" s="50">
        <f t="shared" si="7"/>
        <v>96</v>
      </c>
      <c r="H77" s="50">
        <f t="shared" si="8"/>
        <v>182.39999999999998</v>
      </c>
      <c r="I77" s="51">
        <f t="shared" si="9"/>
        <v>65</v>
      </c>
      <c r="J77" s="52"/>
      <c r="K77" s="52">
        <v>0</v>
      </c>
      <c r="L77" s="53"/>
      <c r="M77" s="54">
        <f t="shared" si="11"/>
        <v>1439</v>
      </c>
      <c r="N77" s="55">
        <f t="shared" si="10"/>
        <v>1782.4</v>
      </c>
      <c r="O77" s="33" t="s">
        <v>54</v>
      </c>
      <c r="P77" s="60" t="s">
        <v>279</v>
      </c>
      <c r="Q77" s="60" t="s">
        <v>281</v>
      </c>
      <c r="R77" s="85"/>
      <c r="S77" s="62">
        <v>325311</v>
      </c>
      <c r="T77" s="60" t="s">
        <v>56</v>
      </c>
    </row>
    <row r="78" spans="1:20" x14ac:dyDescent="0.2">
      <c r="A78" s="45">
        <v>73</v>
      </c>
      <c r="B78" s="84" t="s">
        <v>282</v>
      </c>
      <c r="C78" s="46" t="s">
        <v>283</v>
      </c>
      <c r="D78" s="158" t="s">
        <v>284</v>
      </c>
      <c r="E78" s="74">
        <v>850</v>
      </c>
      <c r="F78" s="52">
        <f>850+212.47</f>
        <v>1062.47</v>
      </c>
      <c r="G78" s="50">
        <f t="shared" si="7"/>
        <v>63.75</v>
      </c>
      <c r="H78" s="50">
        <f t="shared" si="8"/>
        <v>121.12499999999999</v>
      </c>
      <c r="I78" s="51">
        <f t="shared" si="9"/>
        <v>15.623499999999998</v>
      </c>
      <c r="J78" s="52"/>
      <c r="K78" s="52">
        <v>0</v>
      </c>
      <c r="L78" s="53"/>
      <c r="M78" s="54">
        <f t="shared" si="11"/>
        <v>983.09649999999999</v>
      </c>
      <c r="N78" s="55">
        <f t="shared" si="10"/>
        <v>1183.595</v>
      </c>
      <c r="O78" s="33" t="s">
        <v>54</v>
      </c>
      <c r="P78" s="88" t="s">
        <v>282</v>
      </c>
      <c r="Q78" s="88" t="s">
        <v>283</v>
      </c>
      <c r="R78" s="85"/>
      <c r="S78" s="62">
        <v>323111</v>
      </c>
      <c r="T78" s="60" t="s">
        <v>56</v>
      </c>
    </row>
    <row r="79" spans="1:20" x14ac:dyDescent="0.2">
      <c r="A79" s="45">
        <v>74</v>
      </c>
      <c r="B79" s="84" t="s">
        <v>285</v>
      </c>
      <c r="C79" s="46" t="s">
        <v>286</v>
      </c>
      <c r="D79" s="158" t="s">
        <v>287</v>
      </c>
      <c r="E79" s="74">
        <v>550</v>
      </c>
      <c r="F79" s="52">
        <f>550+110</f>
        <v>660</v>
      </c>
      <c r="G79" s="50">
        <f t="shared" si="7"/>
        <v>41.25</v>
      </c>
      <c r="H79" s="50">
        <f t="shared" si="8"/>
        <v>78.375</v>
      </c>
      <c r="I79" s="51">
        <f t="shared" si="9"/>
        <v>0</v>
      </c>
      <c r="J79" s="52"/>
      <c r="K79" s="52">
        <v>0</v>
      </c>
      <c r="L79" s="53"/>
      <c r="M79" s="54">
        <f t="shared" si="11"/>
        <v>618.75</v>
      </c>
      <c r="N79" s="55">
        <f t="shared" si="10"/>
        <v>738.375</v>
      </c>
      <c r="O79" s="33" t="s">
        <v>54</v>
      </c>
      <c r="P79" s="88" t="s">
        <v>285</v>
      </c>
      <c r="Q79" s="88" t="s">
        <v>286</v>
      </c>
      <c r="R79" s="85"/>
      <c r="S79" s="62">
        <v>323111</v>
      </c>
      <c r="T79" s="60" t="s">
        <v>56</v>
      </c>
    </row>
    <row r="80" spans="1:20" x14ac:dyDescent="0.2">
      <c r="A80" s="45">
        <v>75</v>
      </c>
      <c r="B80" s="84" t="s">
        <v>288</v>
      </c>
      <c r="C80" s="46" t="s">
        <v>289</v>
      </c>
      <c r="D80" s="158" t="s">
        <v>287</v>
      </c>
      <c r="E80" s="74">
        <v>550</v>
      </c>
      <c r="F80" s="52">
        <f>550+137.5</f>
        <v>687.5</v>
      </c>
      <c r="G80" s="50">
        <f t="shared" si="7"/>
        <v>41.25</v>
      </c>
      <c r="H80" s="50">
        <f t="shared" si="8"/>
        <v>78.375</v>
      </c>
      <c r="I80" s="51">
        <f t="shared" si="9"/>
        <v>0</v>
      </c>
      <c r="J80" s="52"/>
      <c r="K80" s="52">
        <v>0</v>
      </c>
      <c r="L80" s="53"/>
      <c r="M80" s="54">
        <f t="shared" si="11"/>
        <v>646.25</v>
      </c>
      <c r="N80" s="55">
        <f t="shared" si="10"/>
        <v>765.875</v>
      </c>
      <c r="O80" s="33" t="s">
        <v>54</v>
      </c>
      <c r="P80" s="88" t="s">
        <v>288</v>
      </c>
      <c r="Q80" s="88" t="s">
        <v>289</v>
      </c>
      <c r="R80" s="85"/>
      <c r="S80" s="62">
        <v>323111</v>
      </c>
      <c r="T80" s="60" t="s">
        <v>56</v>
      </c>
    </row>
    <row r="81" spans="1:20" ht="15" x14ac:dyDescent="0.25">
      <c r="A81" s="45">
        <v>76</v>
      </c>
      <c r="B81" s="84" t="s">
        <v>290</v>
      </c>
      <c r="C81" s="156" t="s">
        <v>291</v>
      </c>
      <c r="D81" s="158" t="s">
        <v>65</v>
      </c>
      <c r="E81" s="74">
        <v>850</v>
      </c>
      <c r="F81" s="52">
        <v>850</v>
      </c>
      <c r="G81" s="50">
        <f t="shared" si="7"/>
        <v>63.75</v>
      </c>
      <c r="H81" s="50">
        <f t="shared" si="8"/>
        <v>121.12499999999999</v>
      </c>
      <c r="I81" s="51">
        <f t="shared" si="9"/>
        <v>5</v>
      </c>
      <c r="J81" s="52"/>
      <c r="K81" s="52">
        <v>0</v>
      </c>
      <c r="L81" s="53"/>
      <c r="M81" s="54">
        <f t="shared" si="11"/>
        <v>781.25</v>
      </c>
      <c r="N81" s="55">
        <f t="shared" si="10"/>
        <v>971.125</v>
      </c>
      <c r="O81" s="33" t="s">
        <v>54</v>
      </c>
      <c r="P81" s="84" t="s">
        <v>290</v>
      </c>
      <c r="Q81" s="89" t="s">
        <v>291</v>
      </c>
      <c r="R81" s="85"/>
      <c r="S81" s="58">
        <v>323111</v>
      </c>
      <c r="T81" s="56" t="s">
        <v>56</v>
      </c>
    </row>
    <row r="82" spans="1:20" ht="15" x14ac:dyDescent="0.25">
      <c r="A82" s="45">
        <v>77</v>
      </c>
      <c r="B82" s="84" t="s">
        <v>292</v>
      </c>
      <c r="C82" s="156" t="s">
        <v>293</v>
      </c>
      <c r="D82" s="158" t="s">
        <v>65</v>
      </c>
      <c r="E82" s="74">
        <v>850</v>
      </c>
      <c r="F82" s="52">
        <f>850+171.39</f>
        <v>1021.39</v>
      </c>
      <c r="G82" s="50">
        <f t="shared" si="7"/>
        <v>63.75</v>
      </c>
      <c r="H82" s="50">
        <f t="shared" si="8"/>
        <v>121.12499999999999</v>
      </c>
      <c r="I82" s="51">
        <f t="shared" si="9"/>
        <v>13.569500000000003</v>
      </c>
      <c r="J82" s="52"/>
      <c r="K82" s="52">
        <v>0</v>
      </c>
      <c r="L82" s="53"/>
      <c r="M82" s="54">
        <f t="shared" si="11"/>
        <v>944.07050000000004</v>
      </c>
      <c r="N82" s="55">
        <f t="shared" si="10"/>
        <v>1142.5149999999999</v>
      </c>
      <c r="O82" s="33" t="s">
        <v>54</v>
      </c>
      <c r="P82" s="84" t="s">
        <v>292</v>
      </c>
      <c r="Q82" s="89" t="s">
        <v>293</v>
      </c>
      <c r="R82" s="85"/>
      <c r="S82" s="62">
        <v>323111</v>
      </c>
      <c r="T82" s="60" t="s">
        <v>56</v>
      </c>
    </row>
    <row r="83" spans="1:20" ht="15" x14ac:dyDescent="0.25">
      <c r="A83" s="45">
        <v>78</v>
      </c>
      <c r="B83" s="84" t="s">
        <v>294</v>
      </c>
      <c r="C83" s="156" t="s">
        <v>295</v>
      </c>
      <c r="D83" s="158" t="s">
        <v>296</v>
      </c>
      <c r="E83" s="74">
        <v>1170</v>
      </c>
      <c r="F83" s="52">
        <f>1170+412.86</f>
        <v>1582.8600000000001</v>
      </c>
      <c r="G83" s="50">
        <f t="shared" si="7"/>
        <v>87.75</v>
      </c>
      <c r="H83" s="50">
        <f t="shared" si="8"/>
        <v>166.72499999999999</v>
      </c>
      <c r="I83" s="51">
        <f t="shared" si="9"/>
        <v>62.452666666666666</v>
      </c>
      <c r="J83" s="52"/>
      <c r="K83" s="52">
        <v>0</v>
      </c>
      <c r="L83" s="53"/>
      <c r="M83" s="54">
        <f t="shared" si="11"/>
        <v>1432.6573333333336</v>
      </c>
      <c r="N83" s="55">
        <f t="shared" si="10"/>
        <v>1749.585</v>
      </c>
      <c r="O83" s="33" t="s">
        <v>54</v>
      </c>
      <c r="P83" s="84" t="s">
        <v>294</v>
      </c>
      <c r="Q83" s="89" t="s">
        <v>295</v>
      </c>
      <c r="R83" s="85"/>
      <c r="S83" s="62">
        <v>326111</v>
      </c>
      <c r="T83" s="60" t="s">
        <v>56</v>
      </c>
    </row>
    <row r="84" spans="1:20" ht="15" x14ac:dyDescent="0.25">
      <c r="A84" s="45">
        <v>79</v>
      </c>
      <c r="B84" s="84" t="s">
        <v>297</v>
      </c>
      <c r="C84" s="156" t="s">
        <v>298</v>
      </c>
      <c r="D84" s="158" t="s">
        <v>299</v>
      </c>
      <c r="E84" s="74">
        <v>2770</v>
      </c>
      <c r="F84" s="52">
        <f>2770+628.36</f>
        <v>3398.36</v>
      </c>
      <c r="G84" s="50">
        <f t="shared" si="7"/>
        <v>207.75</v>
      </c>
      <c r="H84" s="50">
        <f t="shared" si="8"/>
        <v>394.72499999999997</v>
      </c>
      <c r="I84" s="51">
        <f t="shared" si="9"/>
        <v>266.25666666666666</v>
      </c>
      <c r="J84" s="52"/>
      <c r="K84" s="52">
        <v>0</v>
      </c>
      <c r="L84" s="53"/>
      <c r="M84" s="54">
        <f t="shared" si="11"/>
        <v>2924.3533333333335</v>
      </c>
      <c r="N84" s="55">
        <f t="shared" si="10"/>
        <v>3793.085</v>
      </c>
      <c r="O84" s="33" t="s">
        <v>69</v>
      </c>
      <c r="P84" s="84" t="s">
        <v>297</v>
      </c>
      <c r="Q84" s="89" t="s">
        <v>298</v>
      </c>
      <c r="R84" s="85"/>
      <c r="S84" s="62">
        <v>329111</v>
      </c>
      <c r="T84" s="60" t="s">
        <v>56</v>
      </c>
    </row>
    <row r="85" spans="1:20" x14ac:dyDescent="0.2">
      <c r="A85" s="45">
        <v>80</v>
      </c>
      <c r="B85" s="84" t="s">
        <v>300</v>
      </c>
      <c r="C85" s="46" t="s">
        <v>301</v>
      </c>
      <c r="D85" s="158" t="s">
        <v>302</v>
      </c>
      <c r="E85" s="74">
        <v>1420</v>
      </c>
      <c r="F85" s="52">
        <f>1420+284</f>
        <v>1704</v>
      </c>
      <c r="G85" s="50">
        <f t="shared" si="7"/>
        <v>106.5</v>
      </c>
      <c r="H85" s="50">
        <f t="shared" si="8"/>
        <v>202.35</v>
      </c>
      <c r="I85" s="51">
        <f t="shared" si="9"/>
        <v>80.600000000000009</v>
      </c>
      <c r="J85" s="52"/>
      <c r="K85" s="52">
        <v>0</v>
      </c>
      <c r="L85" s="53"/>
      <c r="M85" s="54">
        <f t="shared" si="11"/>
        <v>1516.9</v>
      </c>
      <c r="N85" s="55">
        <f t="shared" si="10"/>
        <v>1906.35</v>
      </c>
      <c r="O85" s="33" t="s">
        <v>54</v>
      </c>
      <c r="P85" s="84" t="s">
        <v>300</v>
      </c>
      <c r="Q85" s="92" t="s">
        <v>301</v>
      </c>
      <c r="R85" s="85"/>
      <c r="S85" s="62">
        <v>325311</v>
      </c>
      <c r="T85" s="60" t="s">
        <v>56</v>
      </c>
    </row>
    <row r="86" spans="1:20" x14ac:dyDescent="0.2">
      <c r="A86" s="45">
        <v>81</v>
      </c>
      <c r="B86" s="84" t="s">
        <v>303</v>
      </c>
      <c r="C86" s="46" t="s">
        <v>304</v>
      </c>
      <c r="D86" s="158" t="s">
        <v>302</v>
      </c>
      <c r="E86" s="74">
        <v>1490</v>
      </c>
      <c r="F86" s="52">
        <f>1490+357.6</f>
        <v>1847.6</v>
      </c>
      <c r="G86" s="50">
        <f t="shared" si="7"/>
        <v>111.75</v>
      </c>
      <c r="H86" s="50">
        <f t="shared" si="8"/>
        <v>212.32499999999999</v>
      </c>
      <c r="I86" s="51">
        <f t="shared" si="9"/>
        <v>102.13999999999997</v>
      </c>
      <c r="J86" s="52"/>
      <c r="K86" s="52">
        <v>0</v>
      </c>
      <c r="L86" s="53"/>
      <c r="M86" s="54">
        <f t="shared" si="11"/>
        <v>1633.71</v>
      </c>
      <c r="N86" s="55">
        <f t="shared" si="10"/>
        <v>2059.9249999999997</v>
      </c>
      <c r="O86" s="33" t="s">
        <v>54</v>
      </c>
      <c r="P86" s="84" t="s">
        <v>303</v>
      </c>
      <c r="Q86" s="92" t="s">
        <v>304</v>
      </c>
      <c r="R86" s="85"/>
      <c r="S86" s="62">
        <v>325311</v>
      </c>
      <c r="T86" s="60" t="s">
        <v>56</v>
      </c>
    </row>
    <row r="87" spans="1:20" x14ac:dyDescent="0.2">
      <c r="A87" s="45">
        <v>82</v>
      </c>
      <c r="B87" s="84" t="s">
        <v>305</v>
      </c>
      <c r="C87" s="46" t="s">
        <v>306</v>
      </c>
      <c r="D87" s="158" t="s">
        <v>307</v>
      </c>
      <c r="E87" s="74">
        <v>1008</v>
      </c>
      <c r="F87" s="52">
        <f>1008+302.4</f>
        <v>1310.4000000000001</v>
      </c>
      <c r="G87" s="50">
        <f t="shared" si="7"/>
        <v>75.599999999999994</v>
      </c>
      <c r="H87" s="50">
        <f t="shared" si="8"/>
        <v>143.63999999999999</v>
      </c>
      <c r="I87" s="51">
        <f t="shared" si="9"/>
        <v>35.206666666666678</v>
      </c>
      <c r="J87" s="52"/>
      <c r="K87" s="52">
        <v>0</v>
      </c>
      <c r="L87" s="53"/>
      <c r="M87" s="54">
        <f t="shared" si="11"/>
        <v>1199.5933333333335</v>
      </c>
      <c r="N87" s="55">
        <f t="shared" si="10"/>
        <v>1454.04</v>
      </c>
      <c r="O87" s="33" t="s">
        <v>54</v>
      </c>
      <c r="P87" s="84" t="s">
        <v>305</v>
      </c>
      <c r="Q87" s="92" t="s">
        <v>306</v>
      </c>
      <c r="R87" s="85"/>
      <c r="S87" s="62">
        <v>322111</v>
      </c>
      <c r="T87" s="60" t="s">
        <v>56</v>
      </c>
    </row>
    <row r="88" spans="1:20" x14ac:dyDescent="0.2">
      <c r="A88" s="45">
        <v>83</v>
      </c>
      <c r="B88" s="84" t="s">
        <v>308</v>
      </c>
      <c r="C88" s="46" t="s">
        <v>309</v>
      </c>
      <c r="D88" s="158" t="s">
        <v>417</v>
      </c>
      <c r="E88" s="74">
        <v>2130</v>
      </c>
      <c r="F88" s="52">
        <f>2130+1065</f>
        <v>3195</v>
      </c>
      <c r="G88" s="50">
        <f t="shared" si="7"/>
        <v>159.75</v>
      </c>
      <c r="H88" s="50">
        <f t="shared" si="8"/>
        <v>303.52499999999998</v>
      </c>
      <c r="I88" s="51">
        <f t="shared" si="9"/>
        <v>402.91666666666669</v>
      </c>
      <c r="J88" s="52"/>
      <c r="K88" s="52">
        <v>0</v>
      </c>
      <c r="L88" s="53"/>
      <c r="M88" s="54">
        <f t="shared" si="11"/>
        <v>2632.333333333333</v>
      </c>
      <c r="N88" s="55">
        <f t="shared" si="10"/>
        <v>3498.5250000000001</v>
      </c>
      <c r="O88" s="33" t="s">
        <v>54</v>
      </c>
      <c r="P88" s="84" t="s">
        <v>308</v>
      </c>
      <c r="Q88" s="92" t="s">
        <v>309</v>
      </c>
      <c r="R88" s="85"/>
      <c r="S88" s="58">
        <v>325311</v>
      </c>
      <c r="T88" s="56" t="s">
        <v>56</v>
      </c>
    </row>
    <row r="89" spans="1:20" x14ac:dyDescent="0.2">
      <c r="A89" s="45">
        <v>84</v>
      </c>
      <c r="B89" s="84" t="s">
        <v>311</v>
      </c>
      <c r="C89" s="46" t="s">
        <v>312</v>
      </c>
      <c r="D89" s="158" t="s">
        <v>313</v>
      </c>
      <c r="E89" s="74">
        <v>1880</v>
      </c>
      <c r="F89" s="74">
        <f>1880+752</f>
        <v>2632</v>
      </c>
      <c r="G89" s="50">
        <f t="shared" si="7"/>
        <v>141</v>
      </c>
      <c r="H89" s="50">
        <f t="shared" si="8"/>
        <v>267.89999999999998</v>
      </c>
      <c r="I89" s="51">
        <f t="shared" si="9"/>
        <v>262.16666666666669</v>
      </c>
      <c r="J89" s="52"/>
      <c r="K89" s="52">
        <v>0</v>
      </c>
      <c r="L89" s="53"/>
      <c r="M89" s="54">
        <f t="shared" si="11"/>
        <v>2228.8333333333335</v>
      </c>
      <c r="N89" s="55">
        <f t="shared" si="10"/>
        <v>2899.9</v>
      </c>
      <c r="O89" s="33" t="s">
        <v>54</v>
      </c>
      <c r="P89" s="84" t="s">
        <v>311</v>
      </c>
      <c r="Q89" s="92" t="s">
        <v>312</v>
      </c>
      <c r="R89" s="85"/>
      <c r="S89" s="62">
        <v>329111</v>
      </c>
      <c r="T89" s="60" t="s">
        <v>56</v>
      </c>
    </row>
    <row r="90" spans="1:20" x14ac:dyDescent="0.2">
      <c r="A90" s="45">
        <v>85</v>
      </c>
      <c r="B90" s="84" t="s">
        <v>314</v>
      </c>
      <c r="C90" s="46" t="s">
        <v>315</v>
      </c>
      <c r="D90" s="158" t="s">
        <v>506</v>
      </c>
      <c r="E90" s="74">
        <v>355</v>
      </c>
      <c r="F90" s="52">
        <f>(E90/31*31)+71</f>
        <v>426</v>
      </c>
      <c r="G90" s="50">
        <f>320*0.075</f>
        <v>24</v>
      </c>
      <c r="H90" s="50">
        <f>320*0.1425</f>
        <v>45.599999999999994</v>
      </c>
      <c r="I90" s="51">
        <f t="shared" si="9"/>
        <v>0</v>
      </c>
      <c r="J90" s="52"/>
      <c r="K90" s="52">
        <v>0</v>
      </c>
      <c r="L90" s="53"/>
      <c r="M90" s="54">
        <f t="shared" si="11"/>
        <v>402</v>
      </c>
      <c r="N90" s="55">
        <f t="shared" si="10"/>
        <v>471.6</v>
      </c>
      <c r="O90" s="33" t="s">
        <v>54</v>
      </c>
      <c r="P90" s="84" t="s">
        <v>314</v>
      </c>
      <c r="Q90" s="92" t="s">
        <v>315</v>
      </c>
      <c r="R90" s="85"/>
      <c r="S90" s="62">
        <v>318531</v>
      </c>
      <c r="T90" s="60" t="s">
        <v>317</v>
      </c>
    </row>
    <row r="91" spans="1:20" x14ac:dyDescent="0.2">
      <c r="A91" s="45">
        <v>86</v>
      </c>
      <c r="B91" s="84" t="s">
        <v>318</v>
      </c>
      <c r="C91" s="46" t="s">
        <v>319</v>
      </c>
      <c r="D91" s="158" t="s">
        <v>320</v>
      </c>
      <c r="E91" s="74">
        <v>8300</v>
      </c>
      <c r="F91" s="52">
        <f t="shared" ref="F91:F95" si="12">E91/31*31</f>
        <v>8300</v>
      </c>
      <c r="G91" s="50">
        <f>5000*0.075</f>
        <v>375</v>
      </c>
      <c r="H91" s="50">
        <f>5000*0.1425</f>
        <v>712.49999999999989</v>
      </c>
      <c r="I91" s="51">
        <f t="shared" si="9"/>
        <v>1679.1666666666667</v>
      </c>
      <c r="J91" s="52"/>
      <c r="K91" s="52">
        <v>0</v>
      </c>
      <c r="L91" s="53"/>
      <c r="M91" s="54">
        <f t="shared" si="11"/>
        <v>6245.833333333333</v>
      </c>
      <c r="N91" s="55">
        <f t="shared" si="10"/>
        <v>9012.5</v>
      </c>
      <c r="O91" s="33" t="s">
        <v>54</v>
      </c>
      <c r="P91" s="84" t="s">
        <v>318</v>
      </c>
      <c r="Q91" s="92" t="s">
        <v>319</v>
      </c>
      <c r="R91" s="85"/>
      <c r="S91" s="62">
        <v>131111</v>
      </c>
      <c r="T91" s="60"/>
    </row>
    <row r="92" spans="1:20" x14ac:dyDescent="0.2">
      <c r="A92" s="45">
        <v>87</v>
      </c>
      <c r="B92" s="84" t="s">
        <v>321</v>
      </c>
      <c r="C92" s="46" t="s">
        <v>322</v>
      </c>
      <c r="D92" s="158" t="s">
        <v>323</v>
      </c>
      <c r="E92" s="74">
        <v>2550</v>
      </c>
      <c r="F92" s="52">
        <f>(E92/31*31)+892.5</f>
        <v>3442.5</v>
      </c>
      <c r="G92" s="50">
        <f t="shared" ref="G92:G112" si="13">E92*0.075</f>
        <v>191.25</v>
      </c>
      <c r="H92" s="50">
        <f t="shared" ref="H92:H112" si="14">E92*0.1425</f>
        <v>363.37499999999994</v>
      </c>
      <c r="I92" s="51">
        <f t="shared" si="9"/>
        <v>464.79166666666669</v>
      </c>
      <c r="J92" s="52"/>
      <c r="K92" s="52">
        <v>0</v>
      </c>
      <c r="L92" s="53"/>
      <c r="M92" s="54">
        <f t="shared" si="11"/>
        <v>2786.458333333333</v>
      </c>
      <c r="N92" s="55">
        <f t="shared" si="10"/>
        <v>3805.875</v>
      </c>
      <c r="O92" s="33" t="s">
        <v>54</v>
      </c>
      <c r="P92" s="84" t="s">
        <v>321</v>
      </c>
      <c r="Q92" s="92" t="s">
        <v>322</v>
      </c>
      <c r="R92" s="85"/>
      <c r="S92" s="62">
        <v>318242</v>
      </c>
      <c r="T92" s="60" t="s">
        <v>324</v>
      </c>
    </row>
    <row r="93" spans="1:20" x14ac:dyDescent="0.2">
      <c r="A93" s="45">
        <v>88</v>
      </c>
      <c r="B93" s="84" t="s">
        <v>325</v>
      </c>
      <c r="C93" s="46" t="s">
        <v>326</v>
      </c>
      <c r="D93" s="158" t="s">
        <v>327</v>
      </c>
      <c r="E93" s="74">
        <v>1350</v>
      </c>
      <c r="F93" s="52">
        <f>(E93/31*31)+540</f>
        <v>1890</v>
      </c>
      <c r="G93" s="50">
        <f t="shared" si="13"/>
        <v>101.25</v>
      </c>
      <c r="H93" s="50">
        <f t="shared" si="14"/>
        <v>192.37499999999997</v>
      </c>
      <c r="I93" s="51">
        <f t="shared" si="9"/>
        <v>108.5</v>
      </c>
      <c r="J93" s="52"/>
      <c r="K93" s="52">
        <v>0</v>
      </c>
      <c r="L93" s="53"/>
      <c r="M93" s="54">
        <f t="shared" si="11"/>
        <v>1680.25</v>
      </c>
      <c r="N93" s="55">
        <f t="shared" si="10"/>
        <v>2082.375</v>
      </c>
      <c r="O93" s="33" t="s">
        <v>54</v>
      </c>
      <c r="P93" s="84" t="s">
        <v>325</v>
      </c>
      <c r="Q93" s="92" t="s">
        <v>326</v>
      </c>
      <c r="R93" s="85"/>
      <c r="S93" s="62">
        <v>323111</v>
      </c>
      <c r="T93" s="60" t="s">
        <v>240</v>
      </c>
    </row>
    <row r="94" spans="1:20" x14ac:dyDescent="0.2">
      <c r="A94" s="45">
        <v>89</v>
      </c>
      <c r="B94" s="84" t="s">
        <v>328</v>
      </c>
      <c r="C94" s="46" t="s">
        <v>329</v>
      </c>
      <c r="D94" s="158" t="s">
        <v>327</v>
      </c>
      <c r="E94" s="74">
        <v>1350</v>
      </c>
      <c r="F94" s="52">
        <f t="shared" si="12"/>
        <v>1350</v>
      </c>
      <c r="G94" s="50">
        <f t="shared" si="13"/>
        <v>101.25</v>
      </c>
      <c r="H94" s="50">
        <f t="shared" si="14"/>
        <v>192.37499999999997</v>
      </c>
      <c r="I94" s="51">
        <f t="shared" si="9"/>
        <v>39.166666666666664</v>
      </c>
      <c r="J94" s="52"/>
      <c r="K94" s="52">
        <v>0</v>
      </c>
      <c r="L94" s="53"/>
      <c r="M94" s="54">
        <f t="shared" si="11"/>
        <v>1209.5833333333333</v>
      </c>
      <c r="N94" s="55">
        <f t="shared" si="10"/>
        <v>1542.375</v>
      </c>
      <c r="O94" s="33" t="s">
        <v>54</v>
      </c>
      <c r="P94" s="84" t="s">
        <v>328</v>
      </c>
      <c r="Q94" s="92" t="s">
        <v>329</v>
      </c>
      <c r="R94" s="85"/>
      <c r="S94" s="62">
        <v>327111</v>
      </c>
      <c r="T94" s="60" t="s">
        <v>330</v>
      </c>
    </row>
    <row r="95" spans="1:20" x14ac:dyDescent="0.2">
      <c r="A95" s="45">
        <v>90</v>
      </c>
      <c r="B95" s="84" t="s">
        <v>331</v>
      </c>
      <c r="C95" s="46" t="s">
        <v>332</v>
      </c>
      <c r="D95" s="158" t="s">
        <v>418</v>
      </c>
      <c r="E95" s="74">
        <v>320</v>
      </c>
      <c r="F95" s="52">
        <f t="shared" si="12"/>
        <v>320</v>
      </c>
      <c r="G95" s="50">
        <f t="shared" si="13"/>
        <v>24</v>
      </c>
      <c r="H95" s="50">
        <f t="shared" si="14"/>
        <v>45.599999999999994</v>
      </c>
      <c r="I95" s="51">
        <f t="shared" si="9"/>
        <v>0</v>
      </c>
      <c r="J95" s="52"/>
      <c r="K95" s="52">
        <v>0</v>
      </c>
      <c r="L95" s="53"/>
      <c r="M95" s="54">
        <f t="shared" si="11"/>
        <v>296</v>
      </c>
      <c r="N95" s="55">
        <f t="shared" si="10"/>
        <v>365.6</v>
      </c>
      <c r="O95" s="33" t="s">
        <v>54</v>
      </c>
      <c r="P95" s="84" t="s">
        <v>331</v>
      </c>
      <c r="Q95" s="92" t="s">
        <v>334</v>
      </c>
      <c r="R95" s="85"/>
      <c r="S95" s="58">
        <v>323111</v>
      </c>
      <c r="T95" s="56" t="s">
        <v>56</v>
      </c>
    </row>
    <row r="96" spans="1:20" x14ac:dyDescent="0.2">
      <c r="A96" s="45">
        <v>91</v>
      </c>
      <c r="B96" s="84" t="s">
        <v>335</v>
      </c>
      <c r="C96" s="46" t="s">
        <v>336</v>
      </c>
      <c r="D96" s="158" t="s">
        <v>337</v>
      </c>
      <c r="E96" s="74">
        <v>1700</v>
      </c>
      <c r="F96" s="52">
        <f>E96/30*30</f>
        <v>1700</v>
      </c>
      <c r="G96" s="50">
        <f t="shared" si="13"/>
        <v>127.5</v>
      </c>
      <c r="H96" s="50">
        <f t="shared" si="14"/>
        <v>242.24999999999997</v>
      </c>
      <c r="I96" s="51">
        <f t="shared" si="9"/>
        <v>80</v>
      </c>
      <c r="J96" s="52"/>
      <c r="K96" s="52">
        <v>0</v>
      </c>
      <c r="L96" s="53"/>
      <c r="M96" s="54">
        <f t="shared" si="11"/>
        <v>1492.5</v>
      </c>
      <c r="N96" s="55">
        <f t="shared" si="10"/>
        <v>1942.25</v>
      </c>
      <c r="O96" s="33" t="s">
        <v>54</v>
      </c>
      <c r="P96" s="84" t="s">
        <v>335</v>
      </c>
      <c r="Q96" s="92" t="s">
        <v>338</v>
      </c>
      <c r="S96" s="62" t="s">
        <v>519</v>
      </c>
      <c r="T96" s="60" t="s">
        <v>177</v>
      </c>
    </row>
    <row r="97" spans="1:20" x14ac:dyDescent="0.2">
      <c r="A97" s="45">
        <v>92</v>
      </c>
      <c r="B97" s="84" t="s">
        <v>340</v>
      </c>
      <c r="C97" s="46" t="s">
        <v>341</v>
      </c>
      <c r="D97" s="158" t="s">
        <v>327</v>
      </c>
      <c r="E97" s="74">
        <v>1350</v>
      </c>
      <c r="F97" s="52">
        <f>E97/30*30</f>
        <v>1350</v>
      </c>
      <c r="G97" s="50">
        <f t="shared" si="13"/>
        <v>101.25</v>
      </c>
      <c r="H97" s="50">
        <f t="shared" si="14"/>
        <v>192.37499999999997</v>
      </c>
      <c r="I97" s="51">
        <f t="shared" si="9"/>
        <v>39.166666666666664</v>
      </c>
      <c r="J97" s="52"/>
      <c r="K97" s="52">
        <v>0</v>
      </c>
      <c r="L97" s="53"/>
      <c r="M97" s="54">
        <f t="shared" si="11"/>
        <v>1209.5833333333333</v>
      </c>
      <c r="N97" s="55">
        <f t="shared" si="10"/>
        <v>1542.375</v>
      </c>
      <c r="O97" s="33" t="s">
        <v>54</v>
      </c>
      <c r="P97" s="84" t="s">
        <v>340</v>
      </c>
      <c r="Q97" s="92" t="s">
        <v>342</v>
      </c>
      <c r="S97" s="62">
        <v>327111</v>
      </c>
      <c r="T97" s="60" t="s">
        <v>56</v>
      </c>
    </row>
    <row r="98" spans="1:20" x14ac:dyDescent="0.2">
      <c r="A98" s="45">
        <v>93</v>
      </c>
      <c r="B98" s="84" t="s">
        <v>343</v>
      </c>
      <c r="C98" s="46" t="s">
        <v>344</v>
      </c>
      <c r="D98" s="158" t="s">
        <v>94</v>
      </c>
      <c r="E98" s="74">
        <v>2700</v>
      </c>
      <c r="F98" s="52">
        <f>(E98/30*30)+675</f>
        <v>3375</v>
      </c>
      <c r="G98" s="50">
        <f t="shared" si="13"/>
        <v>202.5</v>
      </c>
      <c r="H98" s="50">
        <f t="shared" si="14"/>
        <v>384.74999999999994</v>
      </c>
      <c r="I98" s="51">
        <f t="shared" si="9"/>
        <v>260.41666666666669</v>
      </c>
      <c r="J98" s="52"/>
      <c r="K98" s="52">
        <v>0</v>
      </c>
      <c r="L98" s="53"/>
      <c r="M98" s="54">
        <f t="shared" si="11"/>
        <v>2912.0833333333335</v>
      </c>
      <c r="N98" s="55">
        <f t="shared" si="10"/>
        <v>3759.75</v>
      </c>
      <c r="O98" s="33" t="s">
        <v>345</v>
      </c>
      <c r="P98" s="84" t="s">
        <v>343</v>
      </c>
      <c r="Q98" s="92" t="s">
        <v>346</v>
      </c>
      <c r="S98" s="62">
        <v>329111</v>
      </c>
      <c r="T98" s="60" t="s">
        <v>56</v>
      </c>
    </row>
    <row r="99" spans="1:20" x14ac:dyDescent="0.2">
      <c r="A99" s="45">
        <v>94</v>
      </c>
      <c r="B99" s="84" t="s">
        <v>350</v>
      </c>
      <c r="C99" s="46" t="s">
        <v>351</v>
      </c>
      <c r="D99" s="158" t="s">
        <v>352</v>
      </c>
      <c r="E99" s="74">
        <v>800</v>
      </c>
      <c r="F99" s="52">
        <f>E99/31*31</f>
        <v>800</v>
      </c>
      <c r="G99" s="50">
        <f t="shared" si="13"/>
        <v>60</v>
      </c>
      <c r="H99" s="50">
        <f t="shared" si="14"/>
        <v>113.99999999999999</v>
      </c>
      <c r="I99" s="51">
        <f t="shared" si="9"/>
        <v>2.5</v>
      </c>
      <c r="J99" s="52"/>
      <c r="K99" s="52">
        <v>0</v>
      </c>
      <c r="L99" s="53"/>
      <c r="M99" s="54">
        <f t="shared" si="11"/>
        <v>737.5</v>
      </c>
      <c r="N99" s="55">
        <f t="shared" si="10"/>
        <v>914</v>
      </c>
      <c r="O99" s="33" t="s">
        <v>353</v>
      </c>
      <c r="P99" s="84" t="s">
        <v>350</v>
      </c>
      <c r="Q99" s="92" t="s">
        <v>351</v>
      </c>
      <c r="S99" s="62" t="s">
        <v>354</v>
      </c>
      <c r="T99" s="60" t="s">
        <v>355</v>
      </c>
    </row>
    <row r="100" spans="1:20" x14ac:dyDescent="0.2">
      <c r="A100" s="45">
        <v>95</v>
      </c>
      <c r="B100" s="84" t="s">
        <v>356</v>
      </c>
      <c r="C100" s="46" t="s">
        <v>357</v>
      </c>
      <c r="D100" s="158" t="s">
        <v>250</v>
      </c>
      <c r="E100" s="74">
        <v>1135</v>
      </c>
      <c r="F100" s="52">
        <f>(E100/31*31)+340.5</f>
        <v>1475.5</v>
      </c>
      <c r="G100" s="50">
        <f t="shared" si="13"/>
        <v>85.125</v>
      </c>
      <c r="H100" s="50">
        <f t="shared" si="14"/>
        <v>161.73749999999998</v>
      </c>
      <c r="I100" s="51">
        <f t="shared" si="9"/>
        <v>51.716666666666669</v>
      </c>
      <c r="J100" s="52"/>
      <c r="K100" s="52">
        <v>0</v>
      </c>
      <c r="L100" s="53"/>
      <c r="M100" s="54">
        <f t="shared" si="11"/>
        <v>1338.6583333333333</v>
      </c>
      <c r="N100" s="55">
        <f>F100+H100</f>
        <v>1637.2375</v>
      </c>
      <c r="O100" s="33" t="s">
        <v>353</v>
      </c>
      <c r="P100" s="84" t="s">
        <v>356</v>
      </c>
      <c r="Q100" s="92" t="s">
        <v>357</v>
      </c>
      <c r="S100" s="62" t="s">
        <v>358</v>
      </c>
      <c r="T100" s="60" t="s">
        <v>56</v>
      </c>
    </row>
    <row r="101" spans="1:20" x14ac:dyDescent="0.2">
      <c r="A101" s="45">
        <v>96</v>
      </c>
      <c r="B101" s="84" t="s">
        <v>359</v>
      </c>
      <c r="C101" s="46" t="s">
        <v>360</v>
      </c>
      <c r="D101" s="158" t="s">
        <v>307</v>
      </c>
      <c r="E101" s="74">
        <v>640</v>
      </c>
      <c r="F101" s="52">
        <f>(E101/31*31)+160</f>
        <v>800</v>
      </c>
      <c r="G101" s="50">
        <f t="shared" si="13"/>
        <v>48</v>
      </c>
      <c r="H101" s="50">
        <f t="shared" si="14"/>
        <v>91.199999999999989</v>
      </c>
      <c r="I101" s="51">
        <f t="shared" si="9"/>
        <v>2.5</v>
      </c>
      <c r="J101" s="52"/>
      <c r="K101" s="52">
        <v>0</v>
      </c>
      <c r="L101" s="53"/>
      <c r="M101" s="54">
        <f t="shared" si="11"/>
        <v>749.5</v>
      </c>
      <c r="N101" s="55">
        <f t="shared" si="10"/>
        <v>891.2</v>
      </c>
      <c r="O101" s="33" t="s">
        <v>353</v>
      </c>
      <c r="P101" s="84" t="s">
        <v>359</v>
      </c>
      <c r="Q101" s="92" t="s">
        <v>360</v>
      </c>
      <c r="S101" s="58">
        <v>327111</v>
      </c>
      <c r="T101" s="56" t="s">
        <v>56</v>
      </c>
    </row>
    <row r="102" spans="1:20" x14ac:dyDescent="0.2">
      <c r="A102" s="45">
        <v>97</v>
      </c>
      <c r="B102" s="84" t="s">
        <v>361</v>
      </c>
      <c r="C102" s="46" t="s">
        <v>362</v>
      </c>
      <c r="D102" s="158" t="s">
        <v>363</v>
      </c>
      <c r="E102" s="74">
        <v>850</v>
      </c>
      <c r="F102" s="52">
        <f t="shared" ref="F102" si="15">E102/31*31</f>
        <v>850</v>
      </c>
      <c r="G102" s="50">
        <f t="shared" si="13"/>
        <v>63.75</v>
      </c>
      <c r="H102" s="50">
        <f t="shared" si="14"/>
        <v>121.12499999999999</v>
      </c>
      <c r="I102" s="51">
        <f t="shared" si="9"/>
        <v>5</v>
      </c>
      <c r="J102" s="52"/>
      <c r="K102" s="52">
        <v>0</v>
      </c>
      <c r="L102" s="53"/>
      <c r="M102" s="54">
        <f t="shared" si="11"/>
        <v>781.25</v>
      </c>
      <c r="N102" s="55">
        <f t="shared" si="10"/>
        <v>971.125</v>
      </c>
      <c r="O102" s="33" t="s">
        <v>353</v>
      </c>
      <c r="P102" s="84" t="s">
        <v>361</v>
      </c>
      <c r="Q102" s="92" t="s">
        <v>362</v>
      </c>
      <c r="S102" s="152" t="s">
        <v>462</v>
      </c>
      <c r="T102" s="60" t="s">
        <v>177</v>
      </c>
    </row>
    <row r="103" spans="1:20" x14ac:dyDescent="0.2">
      <c r="A103" s="45">
        <v>98</v>
      </c>
      <c r="B103" s="84" t="s">
        <v>369</v>
      </c>
      <c r="C103" s="46" t="s">
        <v>370</v>
      </c>
      <c r="D103" s="158" t="s">
        <v>371</v>
      </c>
      <c r="E103" s="74">
        <v>1525</v>
      </c>
      <c r="F103" s="52">
        <f>(E103/31*31)+381.25</f>
        <v>1906.25</v>
      </c>
      <c r="G103" s="50">
        <f t="shared" si="13"/>
        <v>114.375</v>
      </c>
      <c r="H103" s="50">
        <f t="shared" si="14"/>
        <v>217.31249999999997</v>
      </c>
      <c r="I103" s="51">
        <f t="shared" si="9"/>
        <v>20.3125</v>
      </c>
      <c r="J103" s="52"/>
      <c r="K103" s="52">
        <v>0</v>
      </c>
      <c r="L103" s="53"/>
      <c r="M103" s="54">
        <f t="shared" si="11"/>
        <v>1771.5625</v>
      </c>
      <c r="N103" s="55">
        <f t="shared" si="10"/>
        <v>2123.5625</v>
      </c>
      <c r="O103" s="33" t="s">
        <v>69</v>
      </c>
      <c r="P103" s="84" t="s">
        <v>369</v>
      </c>
      <c r="Q103" s="92" t="s">
        <v>370</v>
      </c>
      <c r="S103" s="62">
        <v>329111</v>
      </c>
      <c r="T103" s="153" t="s">
        <v>56</v>
      </c>
    </row>
    <row r="104" spans="1:20" x14ac:dyDescent="0.2">
      <c r="A104" s="45">
        <v>99</v>
      </c>
      <c r="B104" s="84" t="s">
        <v>372</v>
      </c>
      <c r="C104" s="46" t="s">
        <v>373</v>
      </c>
      <c r="D104" s="158" t="s">
        <v>374</v>
      </c>
      <c r="E104" s="74">
        <v>1400</v>
      </c>
      <c r="F104" s="52">
        <f>E104/31*31</f>
        <v>1400</v>
      </c>
      <c r="G104" s="50">
        <f t="shared" si="13"/>
        <v>105</v>
      </c>
      <c r="H104" s="50">
        <f t="shared" si="14"/>
        <v>199.49999999999997</v>
      </c>
      <c r="I104" s="51">
        <f t="shared" si="9"/>
        <v>0</v>
      </c>
      <c r="J104" s="52"/>
      <c r="K104" s="52">
        <v>0</v>
      </c>
      <c r="L104" s="53"/>
      <c r="M104" s="54">
        <f t="shared" si="11"/>
        <v>1295</v>
      </c>
      <c r="N104" s="55">
        <f t="shared" si="10"/>
        <v>1599.5</v>
      </c>
      <c r="O104" s="33" t="s">
        <v>69</v>
      </c>
      <c r="P104" s="84" t="s">
        <v>372</v>
      </c>
      <c r="Q104" s="92" t="s">
        <v>373</v>
      </c>
      <c r="S104" s="62">
        <v>121111</v>
      </c>
      <c r="T104" s="153" t="s">
        <v>110</v>
      </c>
    </row>
    <row r="105" spans="1:20" x14ac:dyDescent="0.2">
      <c r="A105" s="45">
        <v>100</v>
      </c>
      <c r="B105" s="84" t="s">
        <v>375</v>
      </c>
      <c r="C105" s="46" t="s">
        <v>376</v>
      </c>
      <c r="D105" s="158" t="s">
        <v>377</v>
      </c>
      <c r="E105" s="74">
        <v>1210</v>
      </c>
      <c r="F105" s="52">
        <f>(E105/31*31)+423.5</f>
        <v>1633.5</v>
      </c>
      <c r="G105" s="50">
        <f t="shared" si="13"/>
        <v>90.75</v>
      </c>
      <c r="H105" s="50">
        <f t="shared" si="14"/>
        <v>172.42499999999998</v>
      </c>
      <c r="I105" s="51">
        <f t="shared" si="9"/>
        <v>6.6750000000000007</v>
      </c>
      <c r="J105" s="52"/>
      <c r="K105" s="52">
        <v>0</v>
      </c>
      <c r="L105" s="53"/>
      <c r="M105" s="54">
        <f t="shared" si="11"/>
        <v>1536.075</v>
      </c>
      <c r="N105" s="55">
        <f t="shared" si="10"/>
        <v>1805.925</v>
      </c>
      <c r="O105" s="33" t="s">
        <v>69</v>
      </c>
      <c r="P105" s="84" t="s">
        <v>375</v>
      </c>
      <c r="Q105" s="92" t="s">
        <v>376</v>
      </c>
      <c r="S105" s="62" t="s">
        <v>358</v>
      </c>
      <c r="T105" s="72" t="s">
        <v>56</v>
      </c>
    </row>
    <row r="106" spans="1:20" x14ac:dyDescent="0.2">
      <c r="A106" s="45">
        <v>101</v>
      </c>
      <c r="B106" s="84" t="s">
        <v>378</v>
      </c>
      <c r="C106" s="46" t="s">
        <v>379</v>
      </c>
      <c r="D106" s="158" t="s">
        <v>380</v>
      </c>
      <c r="E106" s="74">
        <v>570</v>
      </c>
      <c r="F106" s="52">
        <f>(E106/31*31)+142.5</f>
        <v>712.5</v>
      </c>
      <c r="G106" s="50">
        <f t="shared" si="13"/>
        <v>42.75</v>
      </c>
      <c r="H106" s="50">
        <f t="shared" si="14"/>
        <v>81.224999999999994</v>
      </c>
      <c r="I106" s="51">
        <f t="shared" si="9"/>
        <v>0</v>
      </c>
      <c r="J106" s="52"/>
      <c r="K106" s="52">
        <v>0</v>
      </c>
      <c r="L106" s="53"/>
      <c r="M106" s="54">
        <f t="shared" si="11"/>
        <v>669.75</v>
      </c>
      <c r="N106" s="55">
        <f t="shared" si="10"/>
        <v>793.72500000000002</v>
      </c>
      <c r="O106" s="33" t="s">
        <v>54</v>
      </c>
      <c r="P106" s="84" t="s">
        <v>378</v>
      </c>
      <c r="Q106" s="92" t="s">
        <v>379</v>
      </c>
      <c r="S106" s="62">
        <v>329111</v>
      </c>
      <c r="T106" s="60" t="s">
        <v>56</v>
      </c>
    </row>
    <row r="107" spans="1:20" x14ac:dyDescent="0.2">
      <c r="A107" s="45">
        <v>102</v>
      </c>
      <c r="B107" s="84" t="s">
        <v>381</v>
      </c>
      <c r="C107" s="46" t="s">
        <v>382</v>
      </c>
      <c r="D107" s="158" t="s">
        <v>507</v>
      </c>
      <c r="E107" s="165">
        <v>355</v>
      </c>
      <c r="F107" s="166">
        <f>E107/30*30</f>
        <v>355</v>
      </c>
      <c r="G107" s="166">
        <f>320*0.075</f>
        <v>24</v>
      </c>
      <c r="H107" s="166">
        <f>320*0.1425</f>
        <v>45.599999999999994</v>
      </c>
      <c r="I107" s="167">
        <f t="shared" si="9"/>
        <v>0</v>
      </c>
      <c r="J107" s="52"/>
      <c r="K107" s="52">
        <v>0</v>
      </c>
      <c r="L107" s="53"/>
      <c r="M107" s="54">
        <f t="shared" si="11"/>
        <v>331</v>
      </c>
      <c r="N107" s="55">
        <f t="shared" si="10"/>
        <v>400.6</v>
      </c>
      <c r="O107" s="33" t="s">
        <v>353</v>
      </c>
      <c r="P107" s="84" t="s">
        <v>381</v>
      </c>
      <c r="Q107" s="92" t="s">
        <v>382</v>
      </c>
      <c r="S107" s="58">
        <v>329111</v>
      </c>
      <c r="T107" s="60" t="s">
        <v>56</v>
      </c>
    </row>
    <row r="108" spans="1:20" x14ac:dyDescent="0.2">
      <c r="A108" s="45">
        <v>103</v>
      </c>
      <c r="B108" s="84" t="s">
        <v>384</v>
      </c>
      <c r="C108" s="46" t="s">
        <v>385</v>
      </c>
      <c r="D108" s="158" t="s">
        <v>386</v>
      </c>
      <c r="E108" s="130">
        <v>550</v>
      </c>
      <c r="F108" s="131">
        <f>550/31*31</f>
        <v>550</v>
      </c>
      <c r="G108" s="132">
        <f t="shared" si="13"/>
        <v>41.25</v>
      </c>
      <c r="H108" s="132">
        <f t="shared" si="14"/>
        <v>78.375</v>
      </c>
      <c r="I108" s="51">
        <f t="shared" si="9"/>
        <v>0</v>
      </c>
      <c r="J108" s="131"/>
      <c r="K108" s="52">
        <v>0</v>
      </c>
      <c r="L108" s="133"/>
      <c r="M108" s="54">
        <f t="shared" si="11"/>
        <v>508.75</v>
      </c>
      <c r="N108" s="134">
        <f t="shared" si="10"/>
        <v>628.375</v>
      </c>
      <c r="O108" s="33" t="s">
        <v>353</v>
      </c>
      <c r="P108" s="84" t="s">
        <v>384</v>
      </c>
      <c r="Q108" s="92" t="s">
        <v>385</v>
      </c>
      <c r="S108" s="62">
        <v>121111</v>
      </c>
      <c r="T108" s="153" t="s">
        <v>110</v>
      </c>
    </row>
    <row r="109" spans="1:20" x14ac:dyDescent="0.2">
      <c r="A109" s="45">
        <v>104</v>
      </c>
      <c r="B109" s="84" t="s">
        <v>387</v>
      </c>
      <c r="C109" s="46" t="s">
        <v>388</v>
      </c>
      <c r="D109" s="158" t="s">
        <v>508</v>
      </c>
      <c r="E109" s="165">
        <v>355</v>
      </c>
      <c r="F109" s="165">
        <f>E109/30*30</f>
        <v>355</v>
      </c>
      <c r="G109" s="165">
        <f>320*0.075</f>
        <v>24</v>
      </c>
      <c r="H109" s="165">
        <f>320*0.1425</f>
        <v>45.599999999999994</v>
      </c>
      <c r="I109" s="165">
        <f t="shared" si="9"/>
        <v>0</v>
      </c>
      <c r="J109" s="52"/>
      <c r="K109" s="52">
        <v>0</v>
      </c>
      <c r="L109" s="52"/>
      <c r="M109" s="54">
        <f t="shared" si="11"/>
        <v>331</v>
      </c>
      <c r="N109" s="50">
        <f t="shared" si="10"/>
        <v>400.6</v>
      </c>
      <c r="O109" s="66" t="s">
        <v>353</v>
      </c>
      <c r="P109" s="135" t="s">
        <v>387</v>
      </c>
      <c r="Q109" s="67" t="s">
        <v>388</v>
      </c>
      <c r="S109" s="62">
        <v>329111</v>
      </c>
      <c r="T109" s="153" t="s">
        <v>56</v>
      </c>
    </row>
    <row r="110" spans="1:20" x14ac:dyDescent="0.2">
      <c r="A110" s="45">
        <v>105</v>
      </c>
      <c r="B110" s="84" t="s">
        <v>390</v>
      </c>
      <c r="C110" s="46" t="s">
        <v>391</v>
      </c>
      <c r="D110" s="158" t="s">
        <v>392</v>
      </c>
      <c r="E110" s="50">
        <v>780</v>
      </c>
      <c r="F110" s="52">
        <f>(E110/31*31)+165.21</f>
        <v>945.21</v>
      </c>
      <c r="G110" s="50">
        <f t="shared" si="13"/>
        <v>58.5</v>
      </c>
      <c r="H110" s="50">
        <f t="shared" si="14"/>
        <v>111.14999999999999</v>
      </c>
      <c r="I110" s="51">
        <f t="shared" si="9"/>
        <v>9.7605000000000022</v>
      </c>
      <c r="J110" s="52"/>
      <c r="K110" s="52">
        <v>0</v>
      </c>
      <c r="L110" s="52"/>
      <c r="M110" s="54">
        <f t="shared" si="11"/>
        <v>876.94950000000006</v>
      </c>
      <c r="N110" s="50">
        <f>F110+H110</f>
        <v>1056.3600000000001</v>
      </c>
      <c r="O110" s="66" t="s">
        <v>353</v>
      </c>
      <c r="P110" s="135" t="s">
        <v>390</v>
      </c>
      <c r="Q110" s="67" t="s">
        <v>391</v>
      </c>
      <c r="S110" s="62">
        <v>139111</v>
      </c>
      <c r="T110" s="154" t="s">
        <v>463</v>
      </c>
    </row>
    <row r="111" spans="1:20" x14ac:dyDescent="0.2">
      <c r="A111" s="45">
        <v>106</v>
      </c>
      <c r="B111" s="84" t="s">
        <v>419</v>
      </c>
      <c r="C111" s="46" t="s">
        <v>420</v>
      </c>
      <c r="D111" s="158" t="s">
        <v>274</v>
      </c>
      <c r="E111" s="50">
        <v>1065</v>
      </c>
      <c r="F111" s="52">
        <f>(E111/30*30)+213</f>
        <v>1278</v>
      </c>
      <c r="G111" s="50">
        <f t="shared" si="13"/>
        <v>79.875</v>
      </c>
      <c r="H111" s="50">
        <f t="shared" si="14"/>
        <v>151.76249999999999</v>
      </c>
      <c r="I111" s="51">
        <f t="shared" si="9"/>
        <v>31.966666666666669</v>
      </c>
      <c r="J111" s="52"/>
      <c r="K111" s="52">
        <v>0</v>
      </c>
      <c r="L111" s="52"/>
      <c r="M111" s="54">
        <f t="shared" si="11"/>
        <v>1166.1583333333333</v>
      </c>
      <c r="N111" s="50">
        <f t="shared" ref="N111:N137" si="16">F111+H111</f>
        <v>1429.7625</v>
      </c>
      <c r="O111" s="66" t="s">
        <v>353</v>
      </c>
      <c r="P111" s="84" t="s">
        <v>419</v>
      </c>
      <c r="Q111" s="108" t="s">
        <v>420</v>
      </c>
      <c r="S111" s="62" t="s">
        <v>358</v>
      </c>
      <c r="T111" s="153" t="s">
        <v>56</v>
      </c>
    </row>
    <row r="112" spans="1:20" x14ac:dyDescent="0.2">
      <c r="A112" s="45">
        <v>107</v>
      </c>
      <c r="B112" s="84" t="s">
        <v>421</v>
      </c>
      <c r="C112" s="46" t="s">
        <v>422</v>
      </c>
      <c r="D112" s="158" t="s">
        <v>423</v>
      </c>
      <c r="E112" s="50">
        <v>3650</v>
      </c>
      <c r="F112" s="52">
        <f>(E112/30*30)+1460</f>
        <v>5110</v>
      </c>
      <c r="G112" s="50">
        <f t="shared" si="13"/>
        <v>273.75</v>
      </c>
      <c r="H112" s="50">
        <f t="shared" si="14"/>
        <v>520.125</v>
      </c>
      <c r="I112" s="51">
        <f t="shared" si="9"/>
        <v>694.16666666666663</v>
      </c>
      <c r="J112" s="52"/>
      <c r="K112" s="52">
        <v>0</v>
      </c>
      <c r="L112" s="52"/>
      <c r="M112" s="54">
        <f t="shared" si="11"/>
        <v>4142.083333333333</v>
      </c>
      <c r="N112" s="50">
        <f t="shared" si="16"/>
        <v>5630.125</v>
      </c>
      <c r="O112" s="66" t="s">
        <v>345</v>
      </c>
      <c r="P112" s="84" t="s">
        <v>421</v>
      </c>
      <c r="Q112" s="108" t="s">
        <v>422</v>
      </c>
      <c r="S112" s="62">
        <v>329421</v>
      </c>
      <c r="T112" s="153" t="s">
        <v>56</v>
      </c>
    </row>
    <row r="113" spans="1:20" x14ac:dyDescent="0.2">
      <c r="A113" s="45">
        <v>108</v>
      </c>
      <c r="B113" s="84" t="s">
        <v>424</v>
      </c>
      <c r="C113" s="144" t="s">
        <v>425</v>
      </c>
      <c r="D113" s="158" t="s">
        <v>426</v>
      </c>
      <c r="E113" s="132">
        <v>1560</v>
      </c>
      <c r="F113" s="131">
        <f>(E113/30*30)+312</f>
        <v>1872</v>
      </c>
      <c r="G113" s="132">
        <f>1560*0.075</f>
        <v>117</v>
      </c>
      <c r="H113" s="132">
        <f>1560*0.1425</f>
        <v>222.29999999999998</v>
      </c>
      <c r="I113" s="51">
        <f t="shared" si="9"/>
        <v>105.8</v>
      </c>
      <c r="J113" s="131"/>
      <c r="K113" s="131">
        <v>0</v>
      </c>
      <c r="L113" s="131"/>
      <c r="M113" s="54">
        <f t="shared" si="11"/>
        <v>1649.2</v>
      </c>
      <c r="N113" s="132">
        <f t="shared" si="16"/>
        <v>2094.3000000000002</v>
      </c>
      <c r="O113" s="157" t="s">
        <v>353</v>
      </c>
      <c r="P113" s="84" t="s">
        <v>424</v>
      </c>
      <c r="Q113" s="108" t="s">
        <v>425</v>
      </c>
      <c r="S113" s="62">
        <v>318462</v>
      </c>
      <c r="T113" s="153" t="s">
        <v>324</v>
      </c>
    </row>
    <row r="114" spans="1:20" x14ac:dyDescent="0.2">
      <c r="A114" s="45">
        <v>109</v>
      </c>
      <c r="B114" s="135" t="s">
        <v>427</v>
      </c>
      <c r="C114" s="46" t="s">
        <v>428</v>
      </c>
      <c r="D114" s="158" t="s">
        <v>429</v>
      </c>
      <c r="E114" s="50">
        <v>995</v>
      </c>
      <c r="F114" s="52">
        <f>(E114/30*30)+248.75</f>
        <v>1243.75</v>
      </c>
      <c r="G114" s="50">
        <f>995*0.075</f>
        <v>74.625</v>
      </c>
      <c r="H114" s="50">
        <f>995*0.1425</f>
        <v>141.78749999999999</v>
      </c>
      <c r="I114" s="51">
        <f t="shared" si="9"/>
        <v>28.541666666666668</v>
      </c>
      <c r="J114" s="52"/>
      <c r="K114" s="52">
        <v>0</v>
      </c>
      <c r="L114" s="52"/>
      <c r="M114" s="54">
        <f t="shared" si="11"/>
        <v>1140.5833333333333</v>
      </c>
      <c r="N114" s="50">
        <f t="shared" si="16"/>
        <v>1385.5374999999999</v>
      </c>
      <c r="O114" s="66" t="s">
        <v>353</v>
      </c>
      <c r="P114" s="135" t="s">
        <v>427</v>
      </c>
      <c r="Q114" s="67" t="s">
        <v>428</v>
      </c>
      <c r="S114" s="62">
        <v>329111</v>
      </c>
      <c r="T114" s="173" t="s">
        <v>56</v>
      </c>
    </row>
    <row r="115" spans="1:20" x14ac:dyDescent="0.2">
      <c r="A115" s="45">
        <v>110</v>
      </c>
      <c r="B115" s="135" t="s">
        <v>433</v>
      </c>
      <c r="C115" s="46" t="s">
        <v>434</v>
      </c>
      <c r="D115" s="158" t="s">
        <v>435</v>
      </c>
      <c r="E115" s="50">
        <v>1210</v>
      </c>
      <c r="F115" s="52">
        <f>(E115/30*30)+242</f>
        <v>1452</v>
      </c>
      <c r="G115" s="50">
        <f>E115*0.075</f>
        <v>90.75</v>
      </c>
      <c r="H115" s="50">
        <f t="shared" ref="H115:H137" si="17">E115*0.1425</f>
        <v>172.42499999999998</v>
      </c>
      <c r="I115" s="51">
        <f t="shared" si="9"/>
        <v>49.366666666666674</v>
      </c>
      <c r="J115" s="52"/>
      <c r="K115" s="52">
        <v>0</v>
      </c>
      <c r="L115" s="52"/>
      <c r="M115" s="54">
        <f t="shared" si="11"/>
        <v>1311.8833333333332</v>
      </c>
      <c r="N115" s="50">
        <f t="shared" si="16"/>
        <v>1624.425</v>
      </c>
      <c r="O115" s="66" t="s">
        <v>353</v>
      </c>
      <c r="P115" s="135" t="s">
        <v>433</v>
      </c>
      <c r="Q115" s="67" t="s">
        <v>434</v>
      </c>
      <c r="S115" s="62" t="s">
        <v>358</v>
      </c>
      <c r="T115" s="173" t="s">
        <v>56</v>
      </c>
    </row>
    <row r="116" spans="1:20" x14ac:dyDescent="0.2">
      <c r="A116" s="45">
        <v>111</v>
      </c>
      <c r="B116" s="135" t="s">
        <v>437</v>
      </c>
      <c r="C116" s="46" t="s">
        <v>438</v>
      </c>
      <c r="D116" s="158" t="s">
        <v>439</v>
      </c>
      <c r="E116" s="50">
        <v>850</v>
      </c>
      <c r="F116" s="52">
        <f>(E116/30*30)+212.5</f>
        <v>1062.5</v>
      </c>
      <c r="G116" s="50">
        <f>E116*0.075</f>
        <v>63.75</v>
      </c>
      <c r="H116" s="50">
        <f t="shared" si="17"/>
        <v>121.12499999999999</v>
      </c>
      <c r="I116" s="51">
        <f t="shared" si="9"/>
        <v>15.625</v>
      </c>
      <c r="J116" s="52"/>
      <c r="K116" s="52">
        <v>0</v>
      </c>
      <c r="L116" s="52"/>
      <c r="M116" s="54">
        <f t="shared" si="11"/>
        <v>983.125</v>
      </c>
      <c r="N116" s="50">
        <f t="shared" si="16"/>
        <v>1183.625</v>
      </c>
      <c r="O116" s="66" t="s">
        <v>353</v>
      </c>
      <c r="P116" s="135" t="s">
        <v>437</v>
      </c>
      <c r="Q116" s="67" t="s">
        <v>438</v>
      </c>
      <c r="S116" s="62">
        <v>329111</v>
      </c>
      <c r="T116" s="173" t="s">
        <v>56</v>
      </c>
    </row>
    <row r="117" spans="1:20" x14ac:dyDescent="0.2">
      <c r="A117" s="45">
        <v>112</v>
      </c>
      <c r="B117" s="135" t="s">
        <v>464</v>
      </c>
      <c r="C117" s="46" t="s">
        <v>465</v>
      </c>
      <c r="D117" s="158" t="s">
        <v>466</v>
      </c>
      <c r="E117" s="50">
        <v>1065</v>
      </c>
      <c r="F117" s="52">
        <f>(E117/31*31)+213</f>
        <v>1278</v>
      </c>
      <c r="G117" s="50">
        <f>E117*0.075</f>
        <v>79.875</v>
      </c>
      <c r="H117" s="50">
        <f t="shared" si="17"/>
        <v>151.76249999999999</v>
      </c>
      <c r="I117" s="51">
        <f t="shared" si="9"/>
        <v>0</v>
      </c>
      <c r="J117" s="52"/>
      <c r="K117" s="52"/>
      <c r="L117" s="52"/>
      <c r="M117" s="54">
        <f t="shared" si="11"/>
        <v>1198.125</v>
      </c>
      <c r="N117" s="50">
        <f t="shared" si="16"/>
        <v>1429.7625</v>
      </c>
      <c r="O117" s="66" t="s">
        <v>69</v>
      </c>
      <c r="P117" s="135" t="s">
        <v>464</v>
      </c>
      <c r="Q117" s="67" t="s">
        <v>465</v>
      </c>
      <c r="S117" s="62" t="s">
        <v>358</v>
      </c>
      <c r="T117" s="173" t="s">
        <v>56</v>
      </c>
    </row>
    <row r="118" spans="1:20" x14ac:dyDescent="0.2">
      <c r="A118" s="45">
        <v>113</v>
      </c>
      <c r="B118" s="135" t="s">
        <v>467</v>
      </c>
      <c r="C118" s="46" t="s">
        <v>468</v>
      </c>
      <c r="D118" s="158" t="s">
        <v>469</v>
      </c>
      <c r="E118" s="50">
        <v>1630</v>
      </c>
      <c r="F118" s="52">
        <f>E118/31*31</f>
        <v>1630</v>
      </c>
      <c r="G118" s="50">
        <f t="shared" ref="G118:G137" si="18">E118*0.075</f>
        <v>122.25</v>
      </c>
      <c r="H118" s="50">
        <f t="shared" si="17"/>
        <v>232.27499999999998</v>
      </c>
      <c r="I118" s="51">
        <f t="shared" si="9"/>
        <v>69.5</v>
      </c>
      <c r="J118" s="52"/>
      <c r="K118" s="52"/>
      <c r="L118" s="52"/>
      <c r="M118" s="54">
        <f t="shared" si="11"/>
        <v>1438.25</v>
      </c>
      <c r="N118" s="50">
        <f t="shared" si="16"/>
        <v>1862.2750000000001</v>
      </c>
      <c r="O118" s="66" t="s">
        <v>54</v>
      </c>
      <c r="P118" s="135" t="s">
        <v>467</v>
      </c>
      <c r="Q118" s="67" t="s">
        <v>468</v>
      </c>
      <c r="S118" s="62">
        <v>318411</v>
      </c>
      <c r="T118" s="173" t="s">
        <v>138</v>
      </c>
    </row>
    <row r="119" spans="1:20" x14ac:dyDescent="0.2">
      <c r="A119" s="45">
        <v>114</v>
      </c>
      <c r="B119" s="135" t="s">
        <v>470</v>
      </c>
      <c r="C119" s="46" t="s">
        <v>471</v>
      </c>
      <c r="D119" s="158" t="s">
        <v>219</v>
      </c>
      <c r="E119" s="50">
        <v>1135</v>
      </c>
      <c r="F119" s="52">
        <f t="shared" ref="F119:F130" si="19">E119/31*31</f>
        <v>1135</v>
      </c>
      <c r="G119" s="50">
        <f t="shared" si="18"/>
        <v>85.125</v>
      </c>
      <c r="H119" s="50">
        <f t="shared" si="17"/>
        <v>161.73749999999998</v>
      </c>
      <c r="I119" s="51">
        <f t="shared" si="9"/>
        <v>19.25</v>
      </c>
      <c r="J119" s="52"/>
      <c r="K119" s="52"/>
      <c r="L119" s="52"/>
      <c r="M119" s="54">
        <f t="shared" si="11"/>
        <v>1030.625</v>
      </c>
      <c r="N119" s="50">
        <f t="shared" si="16"/>
        <v>1296.7375</v>
      </c>
      <c r="O119" s="66" t="s">
        <v>54</v>
      </c>
      <c r="P119" s="135" t="s">
        <v>470</v>
      </c>
      <c r="Q119" s="67" t="s">
        <v>471</v>
      </c>
      <c r="S119" s="62" t="s">
        <v>358</v>
      </c>
      <c r="T119" s="173" t="s">
        <v>56</v>
      </c>
    </row>
    <row r="120" spans="1:20" x14ac:dyDescent="0.2">
      <c r="A120" s="45">
        <v>115</v>
      </c>
      <c r="B120" s="135" t="s">
        <v>472</v>
      </c>
      <c r="C120" s="46" t="s">
        <v>473</v>
      </c>
      <c r="D120" s="158" t="s">
        <v>474</v>
      </c>
      <c r="E120" s="50">
        <v>320</v>
      </c>
      <c r="F120" s="52">
        <f t="shared" si="19"/>
        <v>320</v>
      </c>
      <c r="G120" s="50">
        <f t="shared" si="18"/>
        <v>24</v>
      </c>
      <c r="H120" s="50">
        <f t="shared" si="17"/>
        <v>45.599999999999994</v>
      </c>
      <c r="I120" s="51">
        <f t="shared" si="9"/>
        <v>0</v>
      </c>
      <c r="J120" s="52"/>
      <c r="K120" s="52"/>
      <c r="L120" s="52"/>
      <c r="M120" s="54">
        <f t="shared" si="11"/>
        <v>296</v>
      </c>
      <c r="N120" s="50">
        <f t="shared" si="16"/>
        <v>365.6</v>
      </c>
      <c r="O120" s="66" t="s">
        <v>54</v>
      </c>
      <c r="P120" s="135" t="s">
        <v>472</v>
      </c>
      <c r="Q120" s="67" t="s">
        <v>473</v>
      </c>
      <c r="S120" s="62">
        <v>329111</v>
      </c>
      <c r="T120" s="173" t="s">
        <v>56</v>
      </c>
    </row>
    <row r="121" spans="1:20" x14ac:dyDescent="0.2">
      <c r="A121" s="45">
        <v>116</v>
      </c>
      <c r="B121" s="135" t="s">
        <v>477</v>
      </c>
      <c r="C121" s="46" t="s">
        <v>478</v>
      </c>
      <c r="D121" s="158" t="s">
        <v>474</v>
      </c>
      <c r="E121" s="50">
        <v>320</v>
      </c>
      <c r="F121" s="52">
        <f t="shared" si="19"/>
        <v>320</v>
      </c>
      <c r="G121" s="50">
        <f t="shared" si="18"/>
        <v>24</v>
      </c>
      <c r="H121" s="50">
        <f t="shared" si="17"/>
        <v>45.599999999999994</v>
      </c>
      <c r="I121" s="51">
        <f t="shared" si="9"/>
        <v>0</v>
      </c>
      <c r="J121" s="52"/>
      <c r="K121" s="52"/>
      <c r="L121" s="52"/>
      <c r="M121" s="54">
        <f t="shared" si="11"/>
        <v>296</v>
      </c>
      <c r="N121" s="50">
        <f t="shared" si="16"/>
        <v>365.6</v>
      </c>
      <c r="O121" s="66" t="s">
        <v>54</v>
      </c>
      <c r="P121" s="135" t="s">
        <v>477</v>
      </c>
      <c r="Q121" s="67" t="s">
        <v>478</v>
      </c>
      <c r="S121" s="62">
        <v>329111</v>
      </c>
      <c r="T121" s="173" t="s">
        <v>56</v>
      </c>
    </row>
    <row r="122" spans="1:20" x14ac:dyDescent="0.2">
      <c r="A122" s="45">
        <v>117</v>
      </c>
      <c r="B122" s="135" t="s">
        <v>479</v>
      </c>
      <c r="C122" s="46" t="s">
        <v>480</v>
      </c>
      <c r="D122" s="158" t="s">
        <v>481</v>
      </c>
      <c r="E122" s="50">
        <v>2130</v>
      </c>
      <c r="F122" s="52">
        <f t="shared" si="19"/>
        <v>2130</v>
      </c>
      <c r="G122" s="50">
        <f t="shared" si="18"/>
        <v>159.75</v>
      </c>
      <c r="H122" s="50">
        <f>E122*0.1425</f>
        <v>303.52499999999998</v>
      </c>
      <c r="I122" s="51">
        <f t="shared" si="9"/>
        <v>151</v>
      </c>
      <c r="J122" s="52"/>
      <c r="K122" s="52"/>
      <c r="L122" s="52"/>
      <c r="M122" s="54">
        <f t="shared" si="11"/>
        <v>1819.25</v>
      </c>
      <c r="N122" s="50">
        <f t="shared" si="16"/>
        <v>2433.5250000000001</v>
      </c>
      <c r="O122" s="66" t="s">
        <v>54</v>
      </c>
      <c r="P122" s="135" t="s">
        <v>479</v>
      </c>
      <c r="Q122" s="67" t="s">
        <v>480</v>
      </c>
      <c r="S122" s="62">
        <v>318411</v>
      </c>
      <c r="T122" s="173" t="s">
        <v>138</v>
      </c>
    </row>
    <row r="123" spans="1:20" x14ac:dyDescent="0.2">
      <c r="A123" s="45">
        <v>118</v>
      </c>
      <c r="B123" s="135" t="s">
        <v>482</v>
      </c>
      <c r="C123" s="46" t="s">
        <v>483</v>
      </c>
      <c r="D123" s="158" t="s">
        <v>484</v>
      </c>
      <c r="E123" s="50">
        <v>1065</v>
      </c>
      <c r="F123" s="52">
        <f t="shared" si="19"/>
        <v>1065</v>
      </c>
      <c r="G123" s="50">
        <f t="shared" si="18"/>
        <v>79.875</v>
      </c>
      <c r="H123" s="50">
        <f t="shared" si="17"/>
        <v>151.76249999999999</v>
      </c>
      <c r="I123" s="51">
        <f t="shared" si="9"/>
        <v>15.75</v>
      </c>
      <c r="J123" s="52"/>
      <c r="K123" s="52"/>
      <c r="L123" s="52"/>
      <c r="M123" s="54">
        <f t="shared" si="11"/>
        <v>969.375</v>
      </c>
      <c r="N123" s="50">
        <f t="shared" si="16"/>
        <v>1216.7625</v>
      </c>
      <c r="O123" s="66" t="s">
        <v>353</v>
      </c>
      <c r="P123" s="135" t="s">
        <v>482</v>
      </c>
      <c r="Q123" s="67" t="s">
        <v>483</v>
      </c>
      <c r="S123" s="62">
        <v>327111</v>
      </c>
      <c r="T123" s="173" t="s">
        <v>56</v>
      </c>
    </row>
    <row r="124" spans="1:20" x14ac:dyDescent="0.2">
      <c r="A124" s="45">
        <v>119</v>
      </c>
      <c r="B124" s="135" t="s">
        <v>485</v>
      </c>
      <c r="C124" s="46" t="s">
        <v>486</v>
      </c>
      <c r="D124" s="158" t="s">
        <v>487</v>
      </c>
      <c r="E124" s="50">
        <v>1100</v>
      </c>
      <c r="F124" s="52">
        <f t="shared" si="19"/>
        <v>1100</v>
      </c>
      <c r="G124" s="50">
        <f t="shared" si="18"/>
        <v>82.5</v>
      </c>
      <c r="H124" s="50">
        <f t="shared" si="17"/>
        <v>156.75</v>
      </c>
      <c r="I124" s="51">
        <f t="shared" si="9"/>
        <v>17.5</v>
      </c>
      <c r="J124" s="52"/>
      <c r="K124" s="52"/>
      <c r="L124" s="52"/>
      <c r="M124" s="54">
        <f t="shared" si="11"/>
        <v>1000</v>
      </c>
      <c r="N124" s="50">
        <f t="shared" si="16"/>
        <v>1256.75</v>
      </c>
      <c r="O124" s="66" t="s">
        <v>54</v>
      </c>
      <c r="P124" s="135" t="s">
        <v>485</v>
      </c>
      <c r="Q124" s="67" t="s">
        <v>486</v>
      </c>
      <c r="S124" s="62" t="s">
        <v>358</v>
      </c>
      <c r="T124" s="173" t="s">
        <v>56</v>
      </c>
    </row>
    <row r="125" spans="1:20" x14ac:dyDescent="0.2">
      <c r="A125" s="45">
        <v>120</v>
      </c>
      <c r="B125" s="135" t="s">
        <v>488</v>
      </c>
      <c r="C125" s="46" t="s">
        <v>489</v>
      </c>
      <c r="D125" s="158" t="s">
        <v>490</v>
      </c>
      <c r="E125" s="50">
        <v>1990</v>
      </c>
      <c r="F125" s="52">
        <f>(E125/31*31)+497.5</f>
        <v>2487.5</v>
      </c>
      <c r="G125" s="50">
        <f t="shared" si="18"/>
        <v>149.25</v>
      </c>
      <c r="H125" s="50">
        <f t="shared" si="17"/>
        <v>283.57499999999999</v>
      </c>
      <c r="I125" s="51">
        <f t="shared" si="9"/>
        <v>85.625</v>
      </c>
      <c r="J125" s="52"/>
      <c r="K125" s="52"/>
      <c r="L125" s="52"/>
      <c r="M125" s="54">
        <f t="shared" si="11"/>
        <v>2252.625</v>
      </c>
      <c r="N125" s="50">
        <f t="shared" si="16"/>
        <v>2771.0749999999998</v>
      </c>
      <c r="O125" s="66" t="s">
        <v>69</v>
      </c>
      <c r="P125" s="135" t="s">
        <v>488</v>
      </c>
      <c r="Q125" s="67" t="s">
        <v>489</v>
      </c>
      <c r="S125" s="62">
        <v>329421</v>
      </c>
      <c r="T125" s="173" t="s">
        <v>56</v>
      </c>
    </row>
    <row r="126" spans="1:20" x14ac:dyDescent="0.2">
      <c r="A126" s="45">
        <v>121</v>
      </c>
      <c r="B126" s="135" t="s">
        <v>491</v>
      </c>
      <c r="C126" s="46" t="s">
        <v>492</v>
      </c>
      <c r="D126" s="158" t="s">
        <v>327</v>
      </c>
      <c r="E126" s="50">
        <v>1705</v>
      </c>
      <c r="F126" s="52">
        <f t="shared" si="19"/>
        <v>1705</v>
      </c>
      <c r="G126" s="50">
        <f t="shared" si="18"/>
        <v>127.875</v>
      </c>
      <c r="H126" s="50">
        <f t="shared" si="17"/>
        <v>242.96249999999998</v>
      </c>
      <c r="I126" s="51">
        <f t="shared" si="9"/>
        <v>80.75</v>
      </c>
      <c r="J126" s="52"/>
      <c r="K126" s="52"/>
      <c r="L126" s="52"/>
      <c r="M126" s="54">
        <f t="shared" si="11"/>
        <v>1496.375</v>
      </c>
      <c r="N126" s="50">
        <f t="shared" si="16"/>
        <v>1947.9625000000001</v>
      </c>
      <c r="O126" s="66" t="s">
        <v>353</v>
      </c>
      <c r="P126" s="135" t="s">
        <v>491</v>
      </c>
      <c r="Q126" s="67" t="s">
        <v>492</v>
      </c>
      <c r="S126" s="62">
        <v>327111</v>
      </c>
      <c r="T126" s="173" t="s">
        <v>56</v>
      </c>
    </row>
    <row r="127" spans="1:20" x14ac:dyDescent="0.2">
      <c r="A127" s="45">
        <v>122</v>
      </c>
      <c r="B127" s="135" t="s">
        <v>493</v>
      </c>
      <c r="C127" s="46" t="s">
        <v>494</v>
      </c>
      <c r="D127" s="158" t="s">
        <v>250</v>
      </c>
      <c r="E127" s="50">
        <v>1135</v>
      </c>
      <c r="F127" s="52">
        <f t="shared" si="19"/>
        <v>1135</v>
      </c>
      <c r="G127" s="50">
        <f t="shared" si="18"/>
        <v>85.125</v>
      </c>
      <c r="H127" s="50">
        <f t="shared" si="17"/>
        <v>161.73749999999998</v>
      </c>
      <c r="I127" s="51">
        <f t="shared" si="9"/>
        <v>19.25</v>
      </c>
      <c r="J127" s="52"/>
      <c r="K127" s="52"/>
      <c r="L127" s="52"/>
      <c r="M127" s="54">
        <f t="shared" si="11"/>
        <v>1030.625</v>
      </c>
      <c r="N127" s="50">
        <f t="shared" si="16"/>
        <v>1296.7375</v>
      </c>
      <c r="O127" s="66" t="s">
        <v>54</v>
      </c>
      <c r="P127" s="135" t="s">
        <v>493</v>
      </c>
      <c r="Q127" s="67" t="s">
        <v>494</v>
      </c>
      <c r="S127" s="62" t="s">
        <v>358</v>
      </c>
      <c r="T127" s="173" t="s">
        <v>56</v>
      </c>
    </row>
    <row r="128" spans="1:20" x14ac:dyDescent="0.2">
      <c r="A128" s="45">
        <v>123</v>
      </c>
      <c r="B128" s="135" t="s">
        <v>495</v>
      </c>
      <c r="C128" s="46" t="s">
        <v>496</v>
      </c>
      <c r="D128" s="158" t="s">
        <v>497</v>
      </c>
      <c r="E128" s="50">
        <v>1490</v>
      </c>
      <c r="F128" s="52">
        <f t="shared" si="19"/>
        <v>1490</v>
      </c>
      <c r="G128" s="50">
        <f t="shared" si="18"/>
        <v>111.75</v>
      </c>
      <c r="H128" s="50">
        <f t="shared" si="17"/>
        <v>212.32499999999999</v>
      </c>
      <c r="I128" s="51">
        <f t="shared" si="9"/>
        <v>53.166666666666664</v>
      </c>
      <c r="J128" s="52"/>
      <c r="K128" s="52"/>
      <c r="L128" s="52"/>
      <c r="M128" s="54">
        <f t="shared" si="11"/>
        <v>1325.0833333333333</v>
      </c>
      <c r="N128" s="50">
        <f t="shared" si="16"/>
        <v>1702.325</v>
      </c>
      <c r="O128" s="66" t="s">
        <v>54</v>
      </c>
      <c r="P128" s="135" t="s">
        <v>495</v>
      </c>
      <c r="Q128" s="67" t="s">
        <v>496</v>
      </c>
      <c r="S128" s="62">
        <v>318242</v>
      </c>
      <c r="T128" s="173" t="s">
        <v>138</v>
      </c>
    </row>
    <row r="129" spans="1:20" x14ac:dyDescent="0.2">
      <c r="A129" s="45">
        <v>124</v>
      </c>
      <c r="B129" s="135" t="s">
        <v>498</v>
      </c>
      <c r="C129" s="46" t="s">
        <v>499</v>
      </c>
      <c r="D129" s="158" t="s">
        <v>500</v>
      </c>
      <c r="E129" s="50">
        <v>320</v>
      </c>
      <c r="F129" s="52">
        <f t="shared" si="19"/>
        <v>320</v>
      </c>
      <c r="G129" s="50">
        <f t="shared" si="18"/>
        <v>24</v>
      </c>
      <c r="H129" s="50">
        <f t="shared" si="17"/>
        <v>45.599999999999994</v>
      </c>
      <c r="I129" s="51">
        <f t="shared" si="9"/>
        <v>0</v>
      </c>
      <c r="J129" s="52"/>
      <c r="K129" s="52"/>
      <c r="L129" s="52"/>
      <c r="M129" s="54">
        <f t="shared" si="11"/>
        <v>296</v>
      </c>
      <c r="N129" s="50">
        <f t="shared" si="16"/>
        <v>365.6</v>
      </c>
      <c r="O129" s="66" t="s">
        <v>54</v>
      </c>
      <c r="P129" s="135" t="s">
        <v>498</v>
      </c>
      <c r="Q129" s="67" t="s">
        <v>499</v>
      </c>
      <c r="S129" s="62">
        <v>329111</v>
      </c>
      <c r="T129" s="173" t="s">
        <v>56</v>
      </c>
    </row>
    <row r="130" spans="1:20" x14ac:dyDescent="0.2">
      <c r="A130" s="45">
        <v>125</v>
      </c>
      <c r="B130" s="135" t="s">
        <v>501</v>
      </c>
      <c r="C130" s="46" t="s">
        <v>502</v>
      </c>
      <c r="D130" s="158" t="s">
        <v>500</v>
      </c>
      <c r="E130" s="50">
        <v>320</v>
      </c>
      <c r="F130" s="52">
        <f t="shared" si="19"/>
        <v>320</v>
      </c>
      <c r="G130" s="50">
        <f t="shared" si="18"/>
        <v>24</v>
      </c>
      <c r="H130" s="50">
        <f t="shared" si="17"/>
        <v>45.599999999999994</v>
      </c>
      <c r="I130" s="51">
        <f t="shared" si="9"/>
        <v>0</v>
      </c>
      <c r="J130" s="52"/>
      <c r="K130" s="52"/>
      <c r="L130" s="52"/>
      <c r="M130" s="54">
        <f t="shared" si="11"/>
        <v>296</v>
      </c>
      <c r="N130" s="50">
        <f t="shared" si="16"/>
        <v>365.6</v>
      </c>
      <c r="O130" s="66" t="s">
        <v>54</v>
      </c>
      <c r="P130" s="135" t="s">
        <v>501</v>
      </c>
      <c r="Q130" s="67" t="s">
        <v>502</v>
      </c>
      <c r="S130" s="62">
        <v>329111</v>
      </c>
      <c r="T130" s="173" t="s">
        <v>56</v>
      </c>
    </row>
    <row r="131" spans="1:20" x14ac:dyDescent="0.2">
      <c r="A131" s="45">
        <v>126</v>
      </c>
      <c r="B131" s="135" t="s">
        <v>509</v>
      </c>
      <c r="C131" s="46" t="s">
        <v>510</v>
      </c>
      <c r="D131" s="158" t="s">
        <v>511</v>
      </c>
      <c r="E131" s="50">
        <v>1810</v>
      </c>
      <c r="F131" s="52">
        <f>E131/30*30</f>
        <v>1810</v>
      </c>
      <c r="G131" s="50">
        <f t="shared" si="18"/>
        <v>135.75</v>
      </c>
      <c r="H131" s="50">
        <f t="shared" si="17"/>
        <v>257.92499999999995</v>
      </c>
      <c r="I131" s="51">
        <f t="shared" si="9"/>
        <v>96.5</v>
      </c>
      <c r="J131" s="52"/>
      <c r="K131" s="52"/>
      <c r="L131" s="52"/>
      <c r="M131" s="54">
        <f>(F131+K131)-SUM(G131,I131,J131,L131)</f>
        <v>1577.75</v>
      </c>
      <c r="N131" s="50">
        <f t="shared" si="16"/>
        <v>2067.9250000000002</v>
      </c>
      <c r="O131" s="66" t="s">
        <v>353</v>
      </c>
      <c r="P131" s="135" t="s">
        <v>509</v>
      </c>
      <c r="Q131" s="67" t="s">
        <v>510</v>
      </c>
      <c r="S131" s="62" t="s">
        <v>358</v>
      </c>
      <c r="T131" s="173" t="s">
        <v>56</v>
      </c>
    </row>
    <row r="132" spans="1:20" x14ac:dyDescent="0.2">
      <c r="A132" s="45">
        <v>127</v>
      </c>
      <c r="B132" s="135" t="s">
        <v>512</v>
      </c>
      <c r="C132" s="46" t="s">
        <v>513</v>
      </c>
      <c r="D132" s="158" t="s">
        <v>511</v>
      </c>
      <c r="E132" s="50">
        <v>1210</v>
      </c>
      <c r="F132" s="52">
        <f>E132/30*30</f>
        <v>1210</v>
      </c>
      <c r="G132" s="50">
        <f t="shared" si="18"/>
        <v>90.75</v>
      </c>
      <c r="H132" s="50">
        <f t="shared" si="17"/>
        <v>172.42499999999998</v>
      </c>
      <c r="I132" s="51">
        <f t="shared" si="9"/>
        <v>25.166666666666668</v>
      </c>
      <c r="J132" s="52"/>
      <c r="K132" s="52"/>
      <c r="L132" s="52"/>
      <c r="M132" s="54">
        <f t="shared" si="11"/>
        <v>1094.0833333333333</v>
      </c>
      <c r="N132" s="50">
        <f t="shared" si="16"/>
        <v>1382.425</v>
      </c>
      <c r="O132" s="66" t="s">
        <v>353</v>
      </c>
      <c r="P132" s="135" t="s">
        <v>512</v>
      </c>
      <c r="Q132" s="67" t="s">
        <v>513</v>
      </c>
      <c r="S132" s="62" t="s">
        <v>358</v>
      </c>
      <c r="T132" s="173" t="s">
        <v>56</v>
      </c>
    </row>
    <row r="133" spans="1:20" x14ac:dyDescent="0.2">
      <c r="A133" s="45">
        <v>128</v>
      </c>
      <c r="B133" s="135" t="s">
        <v>514</v>
      </c>
      <c r="C133" s="46" t="s">
        <v>515</v>
      </c>
      <c r="D133" s="158" t="s">
        <v>516</v>
      </c>
      <c r="E133" s="50">
        <v>1280</v>
      </c>
      <c r="F133" s="52">
        <f>E133/30*30</f>
        <v>1280</v>
      </c>
      <c r="G133" s="50">
        <f t="shared" si="18"/>
        <v>96</v>
      </c>
      <c r="H133" s="50">
        <f t="shared" si="17"/>
        <v>182.39999999999998</v>
      </c>
      <c r="I133" s="51">
        <f t="shared" ref="I133:I137" si="20">(IF((O133="No"),(IF((($F133*12)-9000)&lt;0,0,(IF((($F133*12)-9000)&gt;20000,(5000*5%+5000*10%+5000*15%+5000*20%+((($F133*12)-9000)-20000)*25%),IF((($F133*12)-9000)&gt;15000,(5000*5%+5000*10%+5000*15%+((($F133*12)-9000)-15000)*20%),IF((($F133*12)-9000)&gt;10000,(5000*5%+5000*10%+((($F133*12)-9000)-10000)*15%),IF((($F133*12)-9000)&gt;5000,(5000*5%+((($F133*12)-9000)-5000)*10%),IF((($F133*12)-9000)&lt;5000,(($F133*12)-9000)*5%)))))))),((IF((($F133*12)-18000)&lt;0,0,(IF((($F133*12)-18000)&gt;20000,(5000*5%+5000*10%+5000*15%+5000*20%+((($F133*12)-18000)-20000)*25%),IF((($F133*12)-18000)&gt;15000,(5000*5%+5000*10%+5000*15%+((($F133*12)-18000)-15000)*20%),IF((($F133*12)-18000)&gt;10000,(5000*5%+5000*10%+((($F133*12)-18000)-10000)*15%),IF((($F133*12)-18000)&gt;5000,(5000*5%+((($F133*12)-18000)-5000)*10%),IF((($F133*12)-18000)&lt;5000,(($F133*12)-18000)*5%))))))))))/12)</f>
        <v>32.166666666666664</v>
      </c>
      <c r="J133" s="52"/>
      <c r="K133" s="52"/>
      <c r="L133" s="52"/>
      <c r="M133" s="54">
        <f t="shared" si="11"/>
        <v>1151.8333333333333</v>
      </c>
      <c r="N133" s="50">
        <f t="shared" si="16"/>
        <v>1462.4</v>
      </c>
      <c r="O133" s="66" t="s">
        <v>353</v>
      </c>
      <c r="P133" s="135" t="s">
        <v>514</v>
      </c>
      <c r="Q133" s="67" t="s">
        <v>515</v>
      </c>
      <c r="S133" s="62" t="s">
        <v>358</v>
      </c>
      <c r="T133" s="173" t="s">
        <v>56</v>
      </c>
    </row>
    <row r="134" spans="1:20" x14ac:dyDescent="0.2">
      <c r="A134" s="45">
        <v>129</v>
      </c>
      <c r="B134" s="135" t="s">
        <v>520</v>
      </c>
      <c r="C134" s="67" t="s">
        <v>521</v>
      </c>
      <c r="D134" s="158" t="s">
        <v>522</v>
      </c>
      <c r="E134" s="52">
        <v>925</v>
      </c>
      <c r="F134" s="52">
        <f>(E134/31*6)+925</f>
        <v>1104.0322580645161</v>
      </c>
      <c r="G134" s="52">
        <f t="shared" si="18"/>
        <v>69.375</v>
      </c>
      <c r="H134" s="52">
        <f t="shared" si="17"/>
        <v>131.8125</v>
      </c>
      <c r="I134" s="52">
        <f t="shared" si="20"/>
        <v>17.701612903225804</v>
      </c>
      <c r="J134" s="52"/>
      <c r="K134" s="52"/>
      <c r="L134" s="52"/>
      <c r="M134" s="54">
        <f t="shared" ref="M134:M137" si="21">(F134+K134)-SUM(G134,I134,J134,L134)</f>
        <v>1016.9556451612902</v>
      </c>
      <c r="N134" s="52">
        <f t="shared" si="16"/>
        <v>1235.8447580645161</v>
      </c>
      <c r="O134" s="66" t="s">
        <v>54</v>
      </c>
      <c r="P134" s="135" t="s">
        <v>520</v>
      </c>
      <c r="Q134" s="67" t="s">
        <v>521</v>
      </c>
      <c r="S134" s="62">
        <v>334311</v>
      </c>
      <c r="T134" s="173" t="s">
        <v>523</v>
      </c>
    </row>
    <row r="135" spans="1:20" x14ac:dyDescent="0.2">
      <c r="A135" s="45">
        <v>130</v>
      </c>
      <c r="B135" s="135" t="s">
        <v>524</v>
      </c>
      <c r="C135" s="67" t="s">
        <v>525</v>
      </c>
      <c r="D135" s="158" t="s">
        <v>526</v>
      </c>
      <c r="E135" s="52">
        <v>1314</v>
      </c>
      <c r="F135" s="52">
        <f>E135/30*29</f>
        <v>1270.1999999999998</v>
      </c>
      <c r="G135" s="52">
        <f t="shared" si="18"/>
        <v>98.55</v>
      </c>
      <c r="H135" s="52">
        <f t="shared" si="17"/>
        <v>187.24499999999998</v>
      </c>
      <c r="I135" s="52">
        <f t="shared" si="20"/>
        <v>0</v>
      </c>
      <c r="J135" s="52"/>
      <c r="K135" s="52"/>
      <c r="L135" s="52"/>
      <c r="M135" s="54">
        <f t="shared" si="21"/>
        <v>1171.6499999999999</v>
      </c>
      <c r="N135" s="52">
        <f t="shared" si="16"/>
        <v>1457.4449999999997</v>
      </c>
      <c r="O135" s="66" t="s">
        <v>69</v>
      </c>
      <c r="P135" s="135" t="s">
        <v>524</v>
      </c>
      <c r="Q135" s="67" t="s">
        <v>525</v>
      </c>
      <c r="S135" s="62">
        <v>329111</v>
      </c>
      <c r="T135" s="173" t="s">
        <v>56</v>
      </c>
    </row>
    <row r="136" spans="1:20" x14ac:dyDescent="0.2">
      <c r="A136" s="45">
        <v>131</v>
      </c>
      <c r="B136" s="135" t="s">
        <v>527</v>
      </c>
      <c r="C136" s="67" t="s">
        <v>528</v>
      </c>
      <c r="D136" s="158" t="s">
        <v>522</v>
      </c>
      <c r="E136" s="52">
        <v>925</v>
      </c>
      <c r="F136" s="52">
        <f>E136/30*21</f>
        <v>647.5</v>
      </c>
      <c r="G136" s="52">
        <f t="shared" si="18"/>
        <v>69.375</v>
      </c>
      <c r="H136" s="52">
        <f t="shared" si="17"/>
        <v>131.8125</v>
      </c>
      <c r="I136" s="52">
        <f t="shared" si="20"/>
        <v>0</v>
      </c>
      <c r="J136" s="52"/>
      <c r="K136" s="52"/>
      <c r="L136" s="52"/>
      <c r="M136" s="54">
        <f t="shared" si="21"/>
        <v>578.125</v>
      </c>
      <c r="N136" s="52">
        <f t="shared" si="16"/>
        <v>779.3125</v>
      </c>
      <c r="O136" s="66" t="s">
        <v>353</v>
      </c>
      <c r="P136" s="135" t="s">
        <v>527</v>
      </c>
      <c r="Q136" s="67" t="s">
        <v>528</v>
      </c>
      <c r="S136" s="62">
        <v>334311</v>
      </c>
      <c r="T136" s="173" t="s">
        <v>523</v>
      </c>
    </row>
    <row r="137" spans="1:20" x14ac:dyDescent="0.2">
      <c r="A137" s="45">
        <v>132</v>
      </c>
      <c r="B137" s="135" t="s">
        <v>529</v>
      </c>
      <c r="C137" s="67" t="s">
        <v>530</v>
      </c>
      <c r="D137" s="158" t="s">
        <v>531</v>
      </c>
      <c r="E137" s="52">
        <v>1065</v>
      </c>
      <c r="F137" s="52">
        <f>E137/30*20</f>
        <v>710</v>
      </c>
      <c r="G137" s="52">
        <f t="shared" si="18"/>
        <v>79.875</v>
      </c>
      <c r="H137" s="52">
        <f t="shared" si="17"/>
        <v>151.76249999999999</v>
      </c>
      <c r="I137" s="52">
        <f t="shared" si="20"/>
        <v>0</v>
      </c>
      <c r="J137" s="52"/>
      <c r="K137" s="52"/>
      <c r="L137" s="52"/>
      <c r="M137" s="54">
        <f t="shared" si="21"/>
        <v>630.125</v>
      </c>
      <c r="N137" s="52">
        <f t="shared" si="16"/>
        <v>861.76250000000005</v>
      </c>
      <c r="O137" s="66" t="s">
        <v>69</v>
      </c>
      <c r="P137" s="135" t="s">
        <v>529</v>
      </c>
      <c r="Q137" s="67" t="s">
        <v>530</v>
      </c>
      <c r="S137" s="62" t="s">
        <v>358</v>
      </c>
      <c r="T137" s="173" t="s">
        <v>56</v>
      </c>
    </row>
    <row r="138" spans="1:20" ht="15.75" x14ac:dyDescent="0.25">
      <c r="B138" s="159"/>
      <c r="D138">
        <f>30-12</f>
        <v>18</v>
      </c>
      <c r="E138" s="101">
        <f>SUM(E5:E137)</f>
        <v>187210</v>
      </c>
      <c r="F138" s="101">
        <f>SUM(F5:F137)</f>
        <v>224568.12559139784</v>
      </c>
      <c r="G138" s="101">
        <f>SUM(G5:G137)</f>
        <v>13394.474999999997</v>
      </c>
      <c r="H138" s="101">
        <f>SUM(H5:H137)</f>
        <v>25449.502499999991</v>
      </c>
      <c r="I138" s="101">
        <f>SUM(I5:I137)</f>
        <v>13357.457446236553</v>
      </c>
      <c r="J138" s="101">
        <f>SUM(J5:J109)</f>
        <v>0</v>
      </c>
      <c r="K138" s="101">
        <f>SUM(K5:K133)</f>
        <v>0</v>
      </c>
      <c r="L138" s="101">
        <f>SUM(L5:L133)</f>
        <v>0</v>
      </c>
      <c r="M138" s="139">
        <f>SUM(M5:M137)</f>
        <v>197816.19314516141</v>
      </c>
      <c r="N138" s="101">
        <f>SUM(N5:N137)</f>
        <v>250017.62809139787</v>
      </c>
      <c r="S138"/>
    </row>
    <row r="139" spans="1:20" x14ac:dyDescent="0.2">
      <c r="B139" s="91"/>
      <c r="L139" s="102"/>
    </row>
    <row r="140" spans="1:20" ht="15" x14ac:dyDescent="0.25">
      <c r="B140" s="91"/>
      <c r="H140" s="3"/>
      <c r="I140" s="3"/>
      <c r="M140" s="103"/>
      <c r="N140" s="104"/>
    </row>
    <row r="141" spans="1:20" ht="15.75" x14ac:dyDescent="0.25">
      <c r="B141" s="91"/>
      <c r="C141" s="105" t="s">
        <v>393</v>
      </c>
      <c r="D141" s="106">
        <f>F138-D143</f>
        <v>217672.12559139784</v>
      </c>
      <c r="E141" s="107" t="s">
        <v>394</v>
      </c>
      <c r="F141" s="108">
        <v>521101</v>
      </c>
      <c r="G141" t="s">
        <v>59</v>
      </c>
      <c r="H141" s="109">
        <v>0.7</v>
      </c>
      <c r="I141" s="3">
        <v>651101</v>
      </c>
      <c r="J141" t="s">
        <v>395</v>
      </c>
      <c r="M141" s="103"/>
    </row>
    <row r="142" spans="1:20" ht="15" x14ac:dyDescent="0.25">
      <c r="B142" s="91"/>
      <c r="D142" s="106">
        <f>H138-D144</f>
        <v>24516.127499999991</v>
      </c>
      <c r="E142" s="107" t="s">
        <v>396</v>
      </c>
      <c r="F142" s="108">
        <v>521107</v>
      </c>
      <c r="G142" t="s">
        <v>59</v>
      </c>
      <c r="H142" s="110" t="s">
        <v>397</v>
      </c>
      <c r="I142" s="110" t="s">
        <v>398</v>
      </c>
      <c r="O142" s="3">
        <v>51111101</v>
      </c>
      <c r="S142" s="111">
        <v>51111107</v>
      </c>
    </row>
    <row r="143" spans="1:20" x14ac:dyDescent="0.2">
      <c r="B143" s="91"/>
      <c r="D143" s="107">
        <f>F22+F42+F46+F49+F71</f>
        <v>6896</v>
      </c>
      <c r="E143" s="107" t="s">
        <v>399</v>
      </c>
      <c r="F143" s="108">
        <v>621101</v>
      </c>
      <c r="G143" t="s">
        <v>400</v>
      </c>
      <c r="H143" s="112">
        <v>651102</v>
      </c>
      <c r="I143" s="113" t="s">
        <v>401</v>
      </c>
      <c r="J143" s="33"/>
      <c r="K143" s="33"/>
      <c r="L143">
        <v>51111101</v>
      </c>
      <c r="M143" s="62">
        <v>111111</v>
      </c>
      <c r="N143" t="s">
        <v>402</v>
      </c>
      <c r="O143" s="114">
        <v>2300</v>
      </c>
      <c r="P143" s="102"/>
      <c r="Q143" s="102"/>
      <c r="R143" s="102"/>
      <c r="S143" s="115">
        <v>327.75</v>
      </c>
    </row>
    <row r="144" spans="1:20" x14ac:dyDescent="0.2">
      <c r="D144" s="116">
        <f>H22+H42+H46+H49+H71</f>
        <v>933.375</v>
      </c>
      <c r="E144" s="107" t="s">
        <v>403</v>
      </c>
      <c r="F144" s="108">
        <v>621107</v>
      </c>
      <c r="G144" t="s">
        <v>400</v>
      </c>
      <c r="H144" s="117"/>
      <c r="I144" s="118"/>
      <c r="J144" s="118"/>
      <c r="K144" s="118"/>
      <c r="L144">
        <v>51111101</v>
      </c>
      <c r="M144" s="62">
        <v>122111</v>
      </c>
      <c r="N144" t="s">
        <v>402</v>
      </c>
      <c r="O144" s="114">
        <v>2500</v>
      </c>
      <c r="P144" s="102"/>
      <c r="Q144" s="102"/>
      <c r="R144" s="102"/>
      <c r="S144" s="115">
        <v>356.24999999999994</v>
      </c>
    </row>
    <row r="145" spans="4:19" x14ac:dyDescent="0.2">
      <c r="D145" s="116"/>
      <c r="E145" s="107" t="s">
        <v>404</v>
      </c>
      <c r="F145" s="108"/>
      <c r="H145" s="110"/>
      <c r="I145" s="118"/>
      <c r="J145" s="118"/>
      <c r="K145" s="118"/>
      <c r="L145">
        <v>51111101</v>
      </c>
      <c r="M145" s="62">
        <v>131111</v>
      </c>
      <c r="N145" t="s">
        <v>402</v>
      </c>
      <c r="O145" s="114">
        <v>8216.67</v>
      </c>
      <c r="P145" s="102"/>
      <c r="Q145" s="102"/>
      <c r="R145" s="102"/>
      <c r="S145" s="115">
        <v>897.75</v>
      </c>
    </row>
    <row r="146" spans="4:19" x14ac:dyDescent="0.2">
      <c r="D146" s="119"/>
      <c r="E146" s="120" t="s">
        <v>405</v>
      </c>
      <c r="F146" s="108"/>
      <c r="G146" t="s">
        <v>59</v>
      </c>
      <c r="H146" s="118"/>
      <c r="I146" s="118"/>
      <c r="J146" s="118"/>
      <c r="L146">
        <v>51111101</v>
      </c>
      <c r="M146" s="62">
        <v>134311</v>
      </c>
      <c r="N146" t="s">
        <v>402</v>
      </c>
      <c r="O146" s="114">
        <v>450</v>
      </c>
      <c r="P146" s="102"/>
      <c r="Q146" s="102"/>
      <c r="R146" s="102"/>
      <c r="S146" s="115">
        <v>64.13</v>
      </c>
    </row>
    <row r="147" spans="4:19" x14ac:dyDescent="0.2">
      <c r="E147" s="121" t="s">
        <v>406</v>
      </c>
      <c r="G147" t="s">
        <v>59</v>
      </c>
      <c r="H147" s="118"/>
      <c r="I147" s="118"/>
      <c r="J147" s="118"/>
      <c r="L147">
        <v>51111101</v>
      </c>
      <c r="M147" s="62">
        <v>311311</v>
      </c>
      <c r="N147" t="s">
        <v>402</v>
      </c>
      <c r="O147" s="114">
        <v>815</v>
      </c>
      <c r="P147" s="102"/>
      <c r="Q147" s="102"/>
      <c r="R147" s="102"/>
      <c r="S147" s="115">
        <v>116.14</v>
      </c>
    </row>
    <row r="148" spans="4:19" x14ac:dyDescent="0.2">
      <c r="E148" s="121"/>
      <c r="G148" t="s">
        <v>59</v>
      </c>
      <c r="L148">
        <v>51111101</v>
      </c>
      <c r="M148" s="62">
        <v>323111</v>
      </c>
      <c r="N148" t="s">
        <v>402</v>
      </c>
      <c r="O148" s="114">
        <v>61006.33</v>
      </c>
      <c r="P148" s="102"/>
      <c r="Q148" s="102"/>
      <c r="R148" s="102"/>
      <c r="S148" s="115">
        <v>8753.6299999999992</v>
      </c>
    </row>
    <row r="149" spans="4:19" x14ac:dyDescent="0.2">
      <c r="D149" s="121"/>
      <c r="E149" s="121" t="s">
        <v>407</v>
      </c>
      <c r="F149">
        <v>522111</v>
      </c>
      <c r="G149" t="s">
        <v>59</v>
      </c>
      <c r="L149">
        <v>51111101</v>
      </c>
      <c r="M149" s="77">
        <v>122311</v>
      </c>
      <c r="N149" t="s">
        <v>402</v>
      </c>
      <c r="O149" s="114">
        <v>1350</v>
      </c>
      <c r="P149" s="102"/>
      <c r="Q149" s="102"/>
      <c r="R149" s="102"/>
      <c r="S149" s="115">
        <v>192.38</v>
      </c>
    </row>
    <row r="150" spans="4:19" x14ac:dyDescent="0.2">
      <c r="D150" s="104">
        <f>SUM(D140:D149)</f>
        <v>250017.62809139784</v>
      </c>
      <c r="L150">
        <v>51111101</v>
      </c>
      <c r="M150" s="62">
        <v>325311</v>
      </c>
      <c r="N150" t="s">
        <v>402</v>
      </c>
      <c r="O150" s="114">
        <v>18776</v>
      </c>
      <c r="P150" s="102"/>
      <c r="Q150" s="102"/>
      <c r="R150" s="102"/>
      <c r="S150" s="115">
        <v>2675.56</v>
      </c>
    </row>
    <row r="151" spans="4:19" x14ac:dyDescent="0.2">
      <c r="L151">
        <v>51111101</v>
      </c>
      <c r="M151" s="77">
        <v>326111</v>
      </c>
      <c r="N151" t="s">
        <v>402</v>
      </c>
      <c r="O151" s="114">
        <v>1490</v>
      </c>
      <c r="P151" s="102"/>
      <c r="Q151" s="102"/>
      <c r="R151" s="102"/>
      <c r="S151" s="115">
        <v>212.33</v>
      </c>
    </row>
    <row r="152" spans="4:19" x14ac:dyDescent="0.2">
      <c r="E152" s="106">
        <v>118164.74099999999</v>
      </c>
      <c r="F152" s="108" t="s">
        <v>408</v>
      </c>
      <c r="G152" s="108" t="s">
        <v>409</v>
      </c>
      <c r="I152" s="121">
        <f>E162-D150</f>
        <v>-79651.452145161311</v>
      </c>
      <c r="L152">
        <v>51111101</v>
      </c>
      <c r="M152" s="122">
        <v>327111</v>
      </c>
      <c r="N152" t="s">
        <v>402</v>
      </c>
      <c r="O152" s="114">
        <v>1631</v>
      </c>
      <c r="P152" s="102"/>
      <c r="Q152" s="102"/>
      <c r="R152" s="102"/>
      <c r="S152" s="115">
        <v>161.88</v>
      </c>
    </row>
    <row r="153" spans="4:19" x14ac:dyDescent="0.2">
      <c r="E153" s="106">
        <f>G138+H138</f>
        <v>38843.977499999986</v>
      </c>
      <c r="F153" s="108" t="s">
        <v>410</v>
      </c>
      <c r="G153" s="108">
        <v>214311</v>
      </c>
      <c r="L153">
        <v>51111101</v>
      </c>
      <c r="M153" s="62">
        <v>329111</v>
      </c>
      <c r="N153" t="s">
        <v>402</v>
      </c>
      <c r="O153" s="114">
        <v>38636.81</v>
      </c>
      <c r="P153" s="102"/>
      <c r="Q153" s="102"/>
      <c r="R153" s="102"/>
      <c r="S153" s="115">
        <v>5427.96</v>
      </c>
    </row>
    <row r="154" spans="4:19" x14ac:dyDescent="0.2">
      <c r="E154" s="106">
        <f>I138</f>
        <v>13357.457446236553</v>
      </c>
      <c r="F154" s="108" t="s">
        <v>411</v>
      </c>
      <c r="G154" s="108">
        <v>214801</v>
      </c>
      <c r="L154">
        <v>51111101</v>
      </c>
      <c r="M154" s="62">
        <v>349311</v>
      </c>
      <c r="N154" t="s">
        <v>402</v>
      </c>
      <c r="O154" s="114">
        <v>3275</v>
      </c>
      <c r="P154" s="102"/>
      <c r="Q154" s="102"/>
      <c r="R154" s="102"/>
      <c r="S154" s="115">
        <v>466.69</v>
      </c>
    </row>
    <row r="155" spans="4:19" ht="15" x14ac:dyDescent="0.25">
      <c r="E155" s="123"/>
      <c r="L155">
        <v>51111101</v>
      </c>
      <c r="M155" s="122">
        <v>318223</v>
      </c>
      <c r="N155" t="s">
        <v>402</v>
      </c>
      <c r="O155" s="114">
        <v>1560</v>
      </c>
      <c r="P155" s="124"/>
      <c r="Q155" s="124"/>
      <c r="R155" s="124">
        <f>SUBTOTAL(9,R143:R154)</f>
        <v>0</v>
      </c>
      <c r="S155" s="115">
        <v>222.3</v>
      </c>
    </row>
    <row r="156" spans="4:19" ht="15" x14ac:dyDescent="0.25">
      <c r="E156" s="123"/>
      <c r="L156">
        <v>51111101</v>
      </c>
      <c r="M156" s="122">
        <v>325411</v>
      </c>
      <c r="N156" t="s">
        <v>402</v>
      </c>
      <c r="O156" s="114">
        <v>3619</v>
      </c>
      <c r="P156" s="124"/>
      <c r="Q156" s="124"/>
      <c r="R156" s="124"/>
      <c r="S156" s="115">
        <v>515.71</v>
      </c>
    </row>
    <row r="157" spans="4:19" ht="15" x14ac:dyDescent="0.25">
      <c r="E157" s="123"/>
      <c r="K157" s="125"/>
      <c r="L157">
        <v>51111101</v>
      </c>
      <c r="M157" s="62">
        <v>318242</v>
      </c>
      <c r="N157" t="s">
        <v>402</v>
      </c>
      <c r="O157" s="114">
        <v>1530</v>
      </c>
      <c r="P157" s="124"/>
      <c r="Q157" s="124"/>
      <c r="R157" s="124"/>
      <c r="S157" s="115">
        <v>363.38</v>
      </c>
    </row>
    <row r="158" spans="4:19" ht="15" x14ac:dyDescent="0.25">
      <c r="E158" s="123"/>
      <c r="L158">
        <v>51111101</v>
      </c>
      <c r="M158" s="62">
        <v>318531</v>
      </c>
      <c r="N158" t="s">
        <v>402</v>
      </c>
      <c r="O158" s="114">
        <v>266.67</v>
      </c>
      <c r="P158" s="124"/>
      <c r="Q158" s="124"/>
      <c r="R158" s="124"/>
      <c r="S158" s="115">
        <v>45.6</v>
      </c>
    </row>
    <row r="159" spans="4:19" ht="15" x14ac:dyDescent="0.25">
      <c r="E159" s="123"/>
      <c r="L159">
        <v>51111101</v>
      </c>
      <c r="M159" s="122">
        <v>322111</v>
      </c>
      <c r="N159" t="s">
        <v>402</v>
      </c>
      <c r="O159" s="114">
        <v>1008</v>
      </c>
      <c r="P159" s="124"/>
      <c r="Q159" s="124"/>
      <c r="R159" s="124"/>
      <c r="S159" s="115">
        <v>143.63999999999999</v>
      </c>
    </row>
    <row r="160" spans="4:19" ht="15" x14ac:dyDescent="0.25">
      <c r="E160" s="123"/>
      <c r="M160" s="122"/>
      <c r="O160" s="102"/>
      <c r="P160" s="124"/>
      <c r="Q160" s="124"/>
      <c r="R160" s="124"/>
      <c r="S160" s="115"/>
    </row>
    <row r="161" spans="5:21" ht="15" x14ac:dyDescent="0.25">
      <c r="E161" s="123"/>
      <c r="M161" s="122"/>
      <c r="O161" s="102"/>
      <c r="P161" s="124"/>
      <c r="Q161" s="124"/>
      <c r="R161" s="124"/>
      <c r="S161" s="115"/>
    </row>
    <row r="162" spans="5:21" ht="15" x14ac:dyDescent="0.25">
      <c r="E162" s="126">
        <f>SUM(E152:E155)</f>
        <v>170366.17594623653</v>
      </c>
      <c r="O162" s="124">
        <f>SUBTOTAL(9,O143:O161)</f>
        <v>148430.48000000001</v>
      </c>
      <c r="P162" s="124">
        <f>SUBTOTAL(9,P143:P155)</f>
        <v>0</v>
      </c>
      <c r="Q162" s="124">
        <f>SUBTOTAL(9,Q143:Q155)</f>
        <v>0</v>
      </c>
      <c r="R162" s="124">
        <f>SUBTOTAL(9,R143:R155)</f>
        <v>0</v>
      </c>
      <c r="S162" s="124">
        <f>SUM(S143:S160)</f>
        <v>20943.079999999994</v>
      </c>
      <c r="T162" s="124"/>
      <c r="U162" s="126"/>
    </row>
    <row r="164" spans="5:21" x14ac:dyDescent="0.2">
      <c r="K164" s="103">
        <f>M138</f>
        <v>197816.19314516141</v>
      </c>
      <c r="L164" s="127">
        <v>21141201</v>
      </c>
      <c r="N164" s="128" t="s">
        <v>412</v>
      </c>
    </row>
    <row r="165" spans="5:21" x14ac:dyDescent="0.2">
      <c r="K165" s="104">
        <f>G138+H138</f>
        <v>38843.977499999986</v>
      </c>
      <c r="L165" s="127">
        <v>21141204</v>
      </c>
      <c r="N165" s="128" t="s">
        <v>413</v>
      </c>
    </row>
    <row r="166" spans="5:21" ht="15" x14ac:dyDescent="0.25">
      <c r="K166" s="104">
        <f>I138</f>
        <v>13357.457446236553</v>
      </c>
      <c r="L166" s="111">
        <v>21141304</v>
      </c>
      <c r="N166" s="128" t="s">
        <v>414</v>
      </c>
    </row>
    <row r="167" spans="5:21" ht="15" x14ac:dyDescent="0.25">
      <c r="S167" s="129">
        <f>SUM(S164:S166)</f>
        <v>0</v>
      </c>
    </row>
    <row r="168" spans="5:21" x14ac:dyDescent="0.2">
      <c r="S168" s="115">
        <f>O162+S162</f>
        <v>169373.56</v>
      </c>
    </row>
    <row r="169" spans="5:21" x14ac:dyDescent="0.2">
      <c r="K169" s="103">
        <f>K164+K165+K166</f>
        <v>250017.62809139793</v>
      </c>
    </row>
    <row r="170" spans="5:21" x14ac:dyDescent="0.2">
      <c r="M170" s="104">
        <f>S168-K169</f>
        <v>-80644.06809139793</v>
      </c>
    </row>
  </sheetData>
  <mergeCells count="4">
    <mergeCell ref="B1:D2"/>
    <mergeCell ref="E1:E2"/>
    <mergeCell ref="B3:D3"/>
    <mergeCell ref="E3:M3"/>
  </mergeCells>
  <conditionalFormatting sqref="L164">
    <cfRule type="duplicateValues" dxfId="160" priority="11"/>
    <cfRule type="duplicateValues" dxfId="159" priority="12"/>
    <cfRule type="duplicateValues" dxfId="158" priority="13"/>
    <cfRule type="duplicateValues" dxfId="157" priority="14"/>
  </conditionalFormatting>
  <conditionalFormatting sqref="L165">
    <cfRule type="duplicateValues" dxfId="156" priority="6"/>
    <cfRule type="duplicateValues" dxfId="155" priority="7"/>
    <cfRule type="duplicateValues" dxfId="154" priority="8"/>
    <cfRule type="duplicateValues" dxfId="153" priority="9"/>
  </conditionalFormatting>
  <conditionalFormatting sqref="L166">
    <cfRule type="duplicateValues" dxfId="152" priority="3"/>
    <cfRule type="duplicateValues" dxfId="151" priority="4"/>
  </conditionalFormatting>
  <conditionalFormatting sqref="M151">
    <cfRule type="duplicateValues" dxfId="150" priority="19"/>
  </conditionalFormatting>
  <conditionalFormatting sqref="N164">
    <cfRule type="duplicateValues" dxfId="149" priority="10"/>
  </conditionalFormatting>
  <conditionalFormatting sqref="N165">
    <cfRule type="duplicateValues" dxfId="148" priority="5"/>
  </conditionalFormatting>
  <conditionalFormatting sqref="N166">
    <cfRule type="duplicateValues" dxfId="147" priority="2"/>
  </conditionalFormatting>
  <conditionalFormatting sqref="P5:P9 P11:P46">
    <cfRule type="duplicateValues" dxfId="146" priority="21"/>
  </conditionalFormatting>
  <conditionalFormatting sqref="P10">
    <cfRule type="duplicateValues" dxfId="145" priority="1"/>
  </conditionalFormatting>
  <conditionalFormatting sqref="S54:S67">
    <cfRule type="duplicateValues" dxfId="144" priority="20"/>
  </conditionalFormatting>
  <conditionalFormatting sqref="S142">
    <cfRule type="duplicateValues" dxfId="143" priority="15"/>
    <cfRule type="duplicateValues" dxfId="142" priority="16"/>
    <cfRule type="duplicateValues" dxfId="141" priority="17"/>
    <cfRule type="duplicateValues" dxfId="140" priority="18"/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9857-7316-4586-BF6A-0BA9B63213AB}">
  <sheetPr codeName="Sheet11"/>
  <dimension ref="A1:V167"/>
  <sheetViews>
    <sheetView topLeftCell="A58" workbookViewId="0">
      <selection sqref="A1:XFD1048576"/>
    </sheetView>
  </sheetViews>
  <sheetFormatPr defaultRowHeight="14.25" x14ac:dyDescent="0.2"/>
  <cols>
    <col min="1" max="1" width="5.375" style="33" customWidth="1"/>
    <col min="2" max="2" width="10.875" style="33" customWidth="1"/>
    <col min="3" max="3" width="42.625" bestFit="1" customWidth="1"/>
    <col min="4" max="4" width="37.125" bestFit="1" customWidth="1"/>
    <col min="5" max="6" width="15.375" customWidth="1"/>
    <col min="7" max="8" width="14.5" customWidth="1"/>
    <col min="9" max="9" width="14.125" customWidth="1"/>
    <col min="10" max="10" width="12.125" customWidth="1"/>
    <col min="11" max="11" width="15" customWidth="1"/>
    <col min="12" max="12" width="14.125" customWidth="1"/>
    <col min="13" max="13" width="17.625" customWidth="1"/>
    <col min="14" max="14" width="21" customWidth="1"/>
    <col min="15" max="15" width="10.25" customWidth="1"/>
    <col min="16" max="16" width="8.75" customWidth="1"/>
    <col min="17" max="17" width="41.625" customWidth="1"/>
    <col min="18" max="18" width="5.25" bestFit="1" customWidth="1"/>
    <col min="19" max="19" width="13.25" style="33" customWidth="1"/>
    <col min="20" max="20" width="59.375" bestFit="1" customWidth="1"/>
    <col min="21" max="21" width="12" bestFit="1" customWidth="1"/>
    <col min="23" max="23" width="8.875" customWidth="1"/>
  </cols>
  <sheetData>
    <row r="1" spans="1:20" x14ac:dyDescent="0.2">
      <c r="B1" s="198" t="s">
        <v>504</v>
      </c>
      <c r="C1" s="198"/>
      <c r="D1" s="198"/>
      <c r="E1" s="200">
        <v>45931</v>
      </c>
    </row>
    <row r="2" spans="1:20" ht="15" thickBot="1" x14ac:dyDescent="0.25">
      <c r="B2" s="199"/>
      <c r="C2" s="199"/>
      <c r="D2" s="199"/>
      <c r="E2" s="201"/>
    </row>
    <row r="3" spans="1:20" ht="18.75" thickBot="1" x14ac:dyDescent="0.25">
      <c r="B3" s="202" t="s">
        <v>32</v>
      </c>
      <c r="C3" s="203"/>
      <c r="D3" s="204"/>
      <c r="E3" s="203" t="s">
        <v>33</v>
      </c>
      <c r="F3" s="203"/>
      <c r="G3" s="203"/>
      <c r="H3" s="203"/>
      <c r="I3" s="203"/>
      <c r="J3" s="203"/>
      <c r="K3" s="203"/>
      <c r="L3" s="203"/>
      <c r="M3" s="204"/>
      <c r="N3" s="34" t="s">
        <v>34</v>
      </c>
      <c r="T3" s="33"/>
    </row>
    <row r="4" spans="1:20" ht="45" x14ac:dyDescent="0.2">
      <c r="A4" s="35" t="s">
        <v>35</v>
      </c>
      <c r="B4" s="35" t="s">
        <v>36</v>
      </c>
      <c r="C4" s="36" t="s">
        <v>37</v>
      </c>
      <c r="D4" s="37" t="s">
        <v>38</v>
      </c>
      <c r="E4" s="38" t="s">
        <v>13</v>
      </c>
      <c r="F4" s="39" t="s">
        <v>39</v>
      </c>
      <c r="G4" s="40" t="s">
        <v>40</v>
      </c>
      <c r="H4" s="40" t="s">
        <v>41</v>
      </c>
      <c r="I4" s="39" t="s">
        <v>23</v>
      </c>
      <c r="J4" s="39" t="s">
        <v>24</v>
      </c>
      <c r="K4" s="39" t="s">
        <v>42</v>
      </c>
      <c r="L4" s="39" t="s">
        <v>25</v>
      </c>
      <c r="M4" s="37" t="s">
        <v>43</v>
      </c>
      <c r="N4" s="41" t="s">
        <v>44</v>
      </c>
      <c r="O4" s="42" t="s">
        <v>45</v>
      </c>
      <c r="P4" s="43" t="s">
        <v>46</v>
      </c>
      <c r="Q4" s="43" t="s">
        <v>47</v>
      </c>
      <c r="R4" s="43" t="s">
        <v>48</v>
      </c>
      <c r="S4" s="43" t="s">
        <v>49</v>
      </c>
      <c r="T4" s="44" t="s">
        <v>50</v>
      </c>
    </row>
    <row r="5" spans="1:20" x14ac:dyDescent="0.2">
      <c r="A5" s="45">
        <v>1</v>
      </c>
      <c r="B5" s="45" t="s">
        <v>51</v>
      </c>
      <c r="C5" s="46" t="s">
        <v>52</v>
      </c>
      <c r="D5" s="158" t="s">
        <v>416</v>
      </c>
      <c r="E5" s="48">
        <f>745+75</f>
        <v>820</v>
      </c>
      <c r="F5" s="49">
        <f t="shared" ref="F5:F12" si="0">E5</f>
        <v>820</v>
      </c>
      <c r="G5" s="50">
        <f>745*0.075</f>
        <v>55.875</v>
      </c>
      <c r="H5" s="50">
        <f>745*0.1425</f>
        <v>106.16249999999999</v>
      </c>
      <c r="I5" s="51">
        <f t="shared" ref="I5:I68" si="1">(IF((O5="No"),(IF((($F5*12)-9000)&lt;0,0,(IF((($F5*12)-9000)&gt;20000,(5000*5%+5000*10%+5000*15%+5000*20%+((($F5*12)-9000)-20000)*25%),IF((($F5*12)-9000)&gt;15000,(5000*5%+5000*10%+5000*15%+((($F5*12)-9000)-15000)*20%),IF((($F5*12)-9000)&gt;10000,(5000*5%+5000*10%+((($F5*12)-9000)-10000)*15%),IF((($F5*12)-9000)&gt;5000,(5000*5%+((($F5*12)-9000)-5000)*10%),IF((($F5*12)-9000)&lt;5000,(($F5*12)-9000)*5%)))))))),((IF((($F5*12)-18000)&lt;0,0,(IF((($F5*12)-18000)&gt;20000,(5000*5%+5000*10%+5000*15%+5000*20%+((($F5*12)-18000)-20000)*25%),IF((($F5*12)-18000)&gt;15000,(5000*5%+5000*10%+5000*15%+((($F5*12)-18000)-15000)*20%),IF((($F5*12)-18000)&gt;10000,(5000*5%+5000*10%+((($F5*12)-18000)-10000)*15%),IF((($F5*12)-18000)&gt;5000,(5000*5%+((($F5*12)-18000)-5000)*10%),IF((($F5*12)-18000)&lt;5000,(($F5*12)-18000)*5%))))))))))/12)</f>
        <v>3.5</v>
      </c>
      <c r="J5" s="52"/>
      <c r="K5" s="52">
        <v>0</v>
      </c>
      <c r="L5" s="53"/>
      <c r="M5" s="54">
        <f>(F5+K5)-SUM(G5,I5,J5,L5)</f>
        <v>760.625</v>
      </c>
      <c r="N5" s="55">
        <f t="shared" ref="N5:N68" si="2">F5+H5</f>
        <v>926.16250000000002</v>
      </c>
      <c r="O5" s="33" t="s">
        <v>54</v>
      </c>
      <c r="P5" s="56" t="s">
        <v>51</v>
      </c>
      <c r="Q5" s="56" t="s">
        <v>52</v>
      </c>
      <c r="R5" s="57" t="s">
        <v>55</v>
      </c>
      <c r="S5" s="58">
        <v>329111</v>
      </c>
      <c r="T5" s="56" t="s">
        <v>56</v>
      </c>
    </row>
    <row r="6" spans="1:20" x14ac:dyDescent="0.2">
      <c r="A6" s="45">
        <v>2</v>
      </c>
      <c r="B6" s="45" t="s">
        <v>57</v>
      </c>
      <c r="C6" s="46" t="s">
        <v>58</v>
      </c>
      <c r="D6" s="158" t="s">
        <v>53</v>
      </c>
      <c r="E6" s="48">
        <f>1583+475</f>
        <v>2058</v>
      </c>
      <c r="F6" s="49">
        <f t="shared" si="0"/>
        <v>2058</v>
      </c>
      <c r="G6" s="50">
        <f>1583*0.075</f>
        <v>118.72499999999999</v>
      </c>
      <c r="H6" s="50">
        <f>1583*0.1425</f>
        <v>225.57749999999999</v>
      </c>
      <c r="I6" s="51">
        <f t="shared" si="1"/>
        <v>34.966666666666669</v>
      </c>
      <c r="J6" s="52"/>
      <c r="K6" s="52">
        <v>0</v>
      </c>
      <c r="L6" s="53"/>
      <c r="M6" s="54">
        <f t="shared" ref="M6:M69" si="3">(F6+K6)-SUM(G6,I6,J6,L6)</f>
        <v>1904.3083333333334</v>
      </c>
      <c r="N6" s="55">
        <f t="shared" si="2"/>
        <v>2283.5774999999999</v>
      </c>
      <c r="O6" s="33" t="s">
        <v>69</v>
      </c>
      <c r="P6" s="60" t="s">
        <v>57</v>
      </c>
      <c r="Q6" s="60" t="s">
        <v>58</v>
      </c>
      <c r="R6" s="61" t="s">
        <v>59</v>
      </c>
      <c r="S6" s="62">
        <v>329111</v>
      </c>
      <c r="T6" s="60" t="s">
        <v>56</v>
      </c>
    </row>
    <row r="7" spans="1:20" x14ac:dyDescent="0.2">
      <c r="A7" s="45">
        <v>3</v>
      </c>
      <c r="B7" s="45" t="s">
        <v>60</v>
      </c>
      <c r="C7" s="46" t="s">
        <v>61</v>
      </c>
      <c r="D7" s="158" t="s">
        <v>62</v>
      </c>
      <c r="E7" s="48">
        <f>2755+111</f>
        <v>2866</v>
      </c>
      <c r="F7" s="49">
        <f t="shared" si="0"/>
        <v>2866</v>
      </c>
      <c r="G7" s="50">
        <f>2755*0.075</f>
        <v>206.625</v>
      </c>
      <c r="H7" s="50">
        <f>2755*0.1425</f>
        <v>392.58749999999998</v>
      </c>
      <c r="I7" s="51">
        <f t="shared" si="1"/>
        <v>320.66666666666669</v>
      </c>
      <c r="J7" s="52"/>
      <c r="K7" s="52">
        <v>0</v>
      </c>
      <c r="L7" s="53"/>
      <c r="M7" s="54">
        <f t="shared" si="3"/>
        <v>2338.708333333333</v>
      </c>
      <c r="N7" s="55">
        <f t="shared" si="2"/>
        <v>3258.5875000000001</v>
      </c>
      <c r="O7" s="33" t="s">
        <v>54</v>
      </c>
      <c r="P7" s="60" t="s">
        <v>60</v>
      </c>
      <c r="Q7" s="60" t="s">
        <v>61</v>
      </c>
      <c r="R7" s="61" t="s">
        <v>59</v>
      </c>
      <c r="S7" s="62">
        <v>323111</v>
      </c>
      <c r="T7" s="60" t="s">
        <v>56</v>
      </c>
    </row>
    <row r="8" spans="1:20" x14ac:dyDescent="0.2">
      <c r="A8" s="45">
        <v>4</v>
      </c>
      <c r="B8" s="45" t="s">
        <v>63</v>
      </c>
      <c r="C8" s="46" t="s">
        <v>64</v>
      </c>
      <c r="D8" s="158" t="s">
        <v>65</v>
      </c>
      <c r="E8" s="48">
        <f>900+74</f>
        <v>974</v>
      </c>
      <c r="F8" s="49">
        <f t="shared" si="0"/>
        <v>974</v>
      </c>
      <c r="G8" s="50">
        <f>900*0.075</f>
        <v>67.5</v>
      </c>
      <c r="H8" s="50">
        <f>900*0.1425</f>
        <v>128.25</v>
      </c>
      <c r="I8" s="51">
        <f t="shared" si="1"/>
        <v>11.200000000000001</v>
      </c>
      <c r="J8" s="52"/>
      <c r="K8" s="52">
        <v>0</v>
      </c>
      <c r="L8" s="53"/>
      <c r="M8" s="54">
        <f t="shared" si="3"/>
        <v>895.3</v>
      </c>
      <c r="N8" s="55">
        <f t="shared" si="2"/>
        <v>1102.25</v>
      </c>
      <c r="O8" s="33" t="s">
        <v>54</v>
      </c>
      <c r="P8" s="60" t="s">
        <v>63</v>
      </c>
      <c r="Q8" s="60" t="s">
        <v>64</v>
      </c>
      <c r="R8" s="61" t="s">
        <v>59</v>
      </c>
      <c r="S8" s="62">
        <v>323111</v>
      </c>
      <c r="T8" s="60" t="s">
        <v>56</v>
      </c>
    </row>
    <row r="9" spans="1:20" x14ac:dyDescent="0.2">
      <c r="A9" s="45">
        <v>5</v>
      </c>
      <c r="B9" s="45" t="s">
        <v>66</v>
      </c>
      <c r="C9" s="46" t="s">
        <v>67</v>
      </c>
      <c r="D9" s="158" t="s">
        <v>68</v>
      </c>
      <c r="E9" s="48">
        <f>2428+73</f>
        <v>2501</v>
      </c>
      <c r="F9" s="49">
        <f t="shared" si="0"/>
        <v>2501</v>
      </c>
      <c r="G9" s="50">
        <f>2428*0.075</f>
        <v>182.1</v>
      </c>
      <c r="H9" s="50">
        <f>2428*0.1425</f>
        <v>345.98999999999995</v>
      </c>
      <c r="I9" s="51">
        <f t="shared" si="1"/>
        <v>87.649999999999991</v>
      </c>
      <c r="J9" s="52"/>
      <c r="K9" s="52">
        <v>0</v>
      </c>
      <c r="L9" s="53"/>
      <c r="M9" s="54">
        <f t="shared" si="3"/>
        <v>2231.25</v>
      </c>
      <c r="N9" s="55">
        <f t="shared" si="2"/>
        <v>2846.99</v>
      </c>
      <c r="O9" s="33" t="s">
        <v>69</v>
      </c>
      <c r="P9" s="60" t="s">
        <v>66</v>
      </c>
      <c r="Q9" s="60" t="s">
        <v>67</v>
      </c>
      <c r="R9" s="61" t="s">
        <v>59</v>
      </c>
      <c r="S9" s="62">
        <v>329111</v>
      </c>
      <c r="T9" s="60" t="s">
        <v>56</v>
      </c>
    </row>
    <row r="10" spans="1:20" x14ac:dyDescent="0.2">
      <c r="A10" s="45">
        <v>6</v>
      </c>
      <c r="B10" s="45" t="s">
        <v>70</v>
      </c>
      <c r="C10" s="46" t="s">
        <v>71</v>
      </c>
      <c r="D10" s="158" t="s">
        <v>65</v>
      </c>
      <c r="E10" s="48">
        <f>1165+58</f>
        <v>1223</v>
      </c>
      <c r="F10" s="49">
        <f t="shared" si="0"/>
        <v>1223</v>
      </c>
      <c r="G10" s="50">
        <f>1165*0.075</f>
        <v>87.375</v>
      </c>
      <c r="H10" s="50">
        <f>1165*0.1425</f>
        <v>166.01249999999999</v>
      </c>
      <c r="I10" s="51">
        <f t="shared" si="1"/>
        <v>26.466666666666669</v>
      </c>
      <c r="J10" s="52"/>
      <c r="K10" s="52">
        <v>0</v>
      </c>
      <c r="L10" s="53"/>
      <c r="M10" s="54">
        <f t="shared" si="3"/>
        <v>1109.1583333333333</v>
      </c>
      <c r="N10" s="55">
        <f t="shared" si="2"/>
        <v>1389.0125</v>
      </c>
      <c r="O10" s="33" t="s">
        <v>54</v>
      </c>
      <c r="P10" s="60" t="s">
        <v>70</v>
      </c>
      <c r="Q10" s="60" t="s">
        <v>71</v>
      </c>
      <c r="R10" s="61" t="s">
        <v>59</v>
      </c>
      <c r="S10" s="62">
        <v>323111</v>
      </c>
      <c r="T10" s="60" t="s">
        <v>56</v>
      </c>
    </row>
    <row r="11" spans="1:20" x14ac:dyDescent="0.2">
      <c r="A11" s="45">
        <v>7</v>
      </c>
      <c r="B11" s="45" t="s">
        <v>72</v>
      </c>
      <c r="C11" s="46" t="s">
        <v>73</v>
      </c>
      <c r="D11" s="158" t="s">
        <v>74</v>
      </c>
      <c r="E11" s="48">
        <f>2540+78</f>
        <v>2618</v>
      </c>
      <c r="F11" s="49">
        <f t="shared" si="0"/>
        <v>2618</v>
      </c>
      <c r="G11" s="50">
        <f>2540*0.075</f>
        <v>190.5</v>
      </c>
      <c r="H11" s="50">
        <f>2540*0.1425</f>
        <v>361.95</v>
      </c>
      <c r="I11" s="51">
        <f t="shared" si="1"/>
        <v>105.2</v>
      </c>
      <c r="J11" s="52"/>
      <c r="K11" s="52">
        <v>0</v>
      </c>
      <c r="L11" s="53"/>
      <c r="M11" s="54">
        <f t="shared" si="3"/>
        <v>2322.3000000000002</v>
      </c>
      <c r="N11" s="55">
        <f t="shared" si="2"/>
        <v>2979.95</v>
      </c>
      <c r="O11" s="33" t="s">
        <v>69</v>
      </c>
      <c r="P11" s="60" t="s">
        <v>72</v>
      </c>
      <c r="Q11" s="60" t="s">
        <v>73</v>
      </c>
      <c r="R11" s="61" t="s">
        <v>59</v>
      </c>
      <c r="S11" s="62">
        <v>323111</v>
      </c>
      <c r="T11" s="60" t="s">
        <v>56</v>
      </c>
    </row>
    <row r="12" spans="1:20" x14ac:dyDescent="0.2">
      <c r="A12" s="45">
        <v>8</v>
      </c>
      <c r="B12" s="64" t="s">
        <v>75</v>
      </c>
      <c r="C12" s="46" t="s">
        <v>76</v>
      </c>
      <c r="D12" s="158" t="s">
        <v>77</v>
      </c>
      <c r="E12" s="65">
        <f>2273+68</f>
        <v>2341</v>
      </c>
      <c r="F12" s="50">
        <f t="shared" si="0"/>
        <v>2341</v>
      </c>
      <c r="G12" s="50">
        <f>2273*0.075</f>
        <v>170.47499999999999</v>
      </c>
      <c r="H12" s="52">
        <f>2273*0.1425</f>
        <v>323.90249999999997</v>
      </c>
      <c r="I12" s="51">
        <f t="shared" si="1"/>
        <v>63.65</v>
      </c>
      <c r="J12" s="52"/>
      <c r="K12" s="52">
        <v>0</v>
      </c>
      <c r="L12" s="53"/>
      <c r="M12" s="54">
        <f t="shared" si="3"/>
        <v>2106.875</v>
      </c>
      <c r="N12" s="55">
        <f t="shared" si="2"/>
        <v>2664.9025000000001</v>
      </c>
      <c r="O12" s="33" t="s">
        <v>69</v>
      </c>
      <c r="P12" s="60" t="s">
        <v>75</v>
      </c>
      <c r="Q12" s="60" t="s">
        <v>76</v>
      </c>
      <c r="R12" s="61" t="s">
        <v>59</v>
      </c>
      <c r="S12" s="62">
        <v>323111</v>
      </c>
      <c r="T12" s="60" t="s">
        <v>56</v>
      </c>
    </row>
    <row r="13" spans="1:20" x14ac:dyDescent="0.2">
      <c r="A13" s="45">
        <v>9</v>
      </c>
      <c r="B13" s="66" t="s">
        <v>78</v>
      </c>
      <c r="C13" s="46" t="s">
        <v>79</v>
      </c>
      <c r="D13" s="158" t="s">
        <v>74</v>
      </c>
      <c r="E13" s="68">
        <v>2350</v>
      </c>
      <c r="F13" s="52">
        <v>2350</v>
      </c>
      <c r="G13" s="50">
        <f t="shared" ref="G13" si="4">E13*0.075</f>
        <v>176.25</v>
      </c>
      <c r="H13" s="50">
        <f t="shared" ref="H13" si="5">E13*0.1425</f>
        <v>334.87499999999994</v>
      </c>
      <c r="I13" s="51">
        <f t="shared" si="1"/>
        <v>195</v>
      </c>
      <c r="J13" s="52"/>
      <c r="K13" s="52">
        <v>0</v>
      </c>
      <c r="L13" s="53"/>
      <c r="M13" s="54">
        <f t="shared" si="3"/>
        <v>1978.75</v>
      </c>
      <c r="N13" s="55">
        <f t="shared" si="2"/>
        <v>2684.875</v>
      </c>
      <c r="O13" s="33" t="s">
        <v>54</v>
      </c>
      <c r="P13" s="60" t="s">
        <v>78</v>
      </c>
      <c r="Q13" s="60" t="s">
        <v>79</v>
      </c>
      <c r="R13" s="61" t="s">
        <v>59</v>
      </c>
      <c r="S13" s="62">
        <v>323111</v>
      </c>
      <c r="T13" s="60" t="s">
        <v>56</v>
      </c>
    </row>
    <row r="14" spans="1:20" x14ac:dyDescent="0.2">
      <c r="A14" s="45">
        <v>10</v>
      </c>
      <c r="B14" s="66" t="s">
        <v>80</v>
      </c>
      <c r="C14" s="46" t="s">
        <v>81</v>
      </c>
      <c r="D14" s="158" t="s">
        <v>82</v>
      </c>
      <c r="E14" s="68">
        <f>710+58</f>
        <v>768</v>
      </c>
      <c r="F14" s="52">
        <f t="shared" ref="F14:F47" si="6">E14</f>
        <v>768</v>
      </c>
      <c r="G14" s="50">
        <f>710*0.075</f>
        <v>53.25</v>
      </c>
      <c r="H14" s="50">
        <f>710*0.1425</f>
        <v>101.175</v>
      </c>
      <c r="I14" s="51">
        <f t="shared" si="1"/>
        <v>0.9</v>
      </c>
      <c r="J14" s="52"/>
      <c r="K14" s="52">
        <v>0</v>
      </c>
      <c r="L14" s="53"/>
      <c r="M14" s="54">
        <f t="shared" si="3"/>
        <v>713.85</v>
      </c>
      <c r="N14" s="55">
        <f t="shared" si="2"/>
        <v>869.17499999999995</v>
      </c>
      <c r="O14" s="33" t="s">
        <v>54</v>
      </c>
      <c r="P14" s="60" t="s">
        <v>80</v>
      </c>
      <c r="Q14" s="60" t="s">
        <v>81</v>
      </c>
      <c r="R14" s="61" t="s">
        <v>59</v>
      </c>
      <c r="S14" s="62">
        <v>329111</v>
      </c>
      <c r="T14" s="60" t="s">
        <v>56</v>
      </c>
    </row>
    <row r="15" spans="1:20" x14ac:dyDescent="0.2">
      <c r="A15" s="45">
        <v>11</v>
      </c>
      <c r="B15" s="66" t="s">
        <v>83</v>
      </c>
      <c r="C15" s="46" t="s">
        <v>84</v>
      </c>
      <c r="D15" s="158" t="s">
        <v>85</v>
      </c>
      <c r="E15" s="68">
        <f>1535+47</f>
        <v>1582</v>
      </c>
      <c r="F15" s="52">
        <f t="shared" si="6"/>
        <v>1582</v>
      </c>
      <c r="G15" s="50">
        <f>1535*0.075</f>
        <v>115.125</v>
      </c>
      <c r="H15" s="50">
        <f>1535*0.1425</f>
        <v>218.73749999999998</v>
      </c>
      <c r="I15" s="51">
        <f t="shared" si="1"/>
        <v>62.366666666666674</v>
      </c>
      <c r="J15" s="52"/>
      <c r="K15" s="52">
        <v>0</v>
      </c>
      <c r="L15" s="53"/>
      <c r="M15" s="54">
        <f t="shared" si="3"/>
        <v>1404.5083333333332</v>
      </c>
      <c r="N15" s="55">
        <f t="shared" si="2"/>
        <v>1800.7375</v>
      </c>
      <c r="O15" s="33" t="s">
        <v>54</v>
      </c>
      <c r="P15" s="60" t="s">
        <v>83</v>
      </c>
      <c r="Q15" s="60" t="s">
        <v>84</v>
      </c>
      <c r="R15" s="61" t="s">
        <v>55</v>
      </c>
      <c r="S15" s="62">
        <v>323111</v>
      </c>
      <c r="T15" s="60" t="s">
        <v>56</v>
      </c>
    </row>
    <row r="16" spans="1:20" x14ac:dyDescent="0.2">
      <c r="A16" s="45">
        <v>12</v>
      </c>
      <c r="B16" s="66" t="s">
        <v>86</v>
      </c>
      <c r="C16" s="46" t="s">
        <v>87</v>
      </c>
      <c r="D16" s="158" t="s">
        <v>65</v>
      </c>
      <c r="E16" s="69">
        <f>1235+62</f>
        <v>1297</v>
      </c>
      <c r="F16" s="49">
        <f t="shared" si="6"/>
        <v>1297</v>
      </c>
      <c r="G16" s="50">
        <f>1235*0.075</f>
        <v>92.625</v>
      </c>
      <c r="H16" s="50">
        <f>1235*0.1425</f>
        <v>175.98749999999998</v>
      </c>
      <c r="I16" s="51">
        <f t="shared" si="1"/>
        <v>33.866666666666667</v>
      </c>
      <c r="J16" s="52"/>
      <c r="K16" s="52">
        <v>0</v>
      </c>
      <c r="L16" s="53"/>
      <c r="M16" s="54">
        <f t="shared" si="3"/>
        <v>1170.5083333333332</v>
      </c>
      <c r="N16" s="55">
        <f t="shared" si="2"/>
        <v>1472.9875</v>
      </c>
      <c r="O16" s="33" t="s">
        <v>54</v>
      </c>
      <c r="P16" s="60" t="s">
        <v>86</v>
      </c>
      <c r="Q16" s="60" t="s">
        <v>87</v>
      </c>
      <c r="R16" s="61" t="s">
        <v>55</v>
      </c>
      <c r="S16" s="62">
        <v>323111</v>
      </c>
      <c r="T16" s="60" t="s">
        <v>56</v>
      </c>
    </row>
    <row r="17" spans="1:20" x14ac:dyDescent="0.2">
      <c r="A17" s="45">
        <v>13</v>
      </c>
      <c r="B17" s="66" t="s">
        <v>88</v>
      </c>
      <c r="C17" s="46" t="s">
        <v>89</v>
      </c>
      <c r="D17" s="158" t="s">
        <v>82</v>
      </c>
      <c r="E17" s="69">
        <f>1000+81</f>
        <v>1081</v>
      </c>
      <c r="F17" s="49">
        <f t="shared" si="6"/>
        <v>1081</v>
      </c>
      <c r="G17" s="50">
        <f>1000*0.075</f>
        <v>75</v>
      </c>
      <c r="H17" s="50">
        <f>1000*0.1425</f>
        <v>142.5</v>
      </c>
      <c r="I17" s="51">
        <f t="shared" si="1"/>
        <v>16.55</v>
      </c>
      <c r="J17" s="52"/>
      <c r="K17" s="52">
        <v>0</v>
      </c>
      <c r="L17" s="53"/>
      <c r="M17" s="54">
        <f t="shared" si="3"/>
        <v>989.45</v>
      </c>
      <c r="N17" s="55">
        <f t="shared" si="2"/>
        <v>1223.5</v>
      </c>
      <c r="O17" s="33" t="s">
        <v>54</v>
      </c>
      <c r="P17" s="60" t="s">
        <v>88</v>
      </c>
      <c r="Q17" s="60" t="s">
        <v>89</v>
      </c>
      <c r="R17" s="61" t="s">
        <v>55</v>
      </c>
      <c r="S17" s="62">
        <v>329111</v>
      </c>
      <c r="T17" s="60" t="s">
        <v>56</v>
      </c>
    </row>
    <row r="18" spans="1:20" x14ac:dyDescent="0.2">
      <c r="A18" s="45">
        <v>14</v>
      </c>
      <c r="B18" s="45" t="s">
        <v>90</v>
      </c>
      <c r="C18" s="46" t="s">
        <v>91</v>
      </c>
      <c r="D18" s="158" t="s">
        <v>53</v>
      </c>
      <c r="E18" s="69">
        <f>1470+44</f>
        <v>1514</v>
      </c>
      <c r="F18" s="49">
        <f t="shared" si="6"/>
        <v>1514</v>
      </c>
      <c r="G18" s="50">
        <f>1470*0.075</f>
        <v>110.25</v>
      </c>
      <c r="H18" s="50">
        <f>1470*0.1425</f>
        <v>209.47499999999999</v>
      </c>
      <c r="I18" s="51">
        <f t="shared" si="1"/>
        <v>55.566666666666663</v>
      </c>
      <c r="J18" s="52"/>
      <c r="K18" s="52">
        <v>0</v>
      </c>
      <c r="L18" s="53"/>
      <c r="M18" s="54">
        <f t="shared" si="3"/>
        <v>1348.1833333333334</v>
      </c>
      <c r="N18" s="55">
        <f t="shared" si="2"/>
        <v>1723.4749999999999</v>
      </c>
      <c r="O18" s="33" t="s">
        <v>54</v>
      </c>
      <c r="P18" s="60" t="s">
        <v>90</v>
      </c>
      <c r="Q18" s="60" t="s">
        <v>91</v>
      </c>
      <c r="R18" s="61" t="s">
        <v>55</v>
      </c>
      <c r="S18" s="62">
        <v>329111</v>
      </c>
      <c r="T18" s="60" t="s">
        <v>56</v>
      </c>
    </row>
    <row r="19" spans="1:20" x14ac:dyDescent="0.2">
      <c r="A19" s="45">
        <v>15</v>
      </c>
      <c r="B19" s="45" t="s">
        <v>92</v>
      </c>
      <c r="C19" s="46" t="s">
        <v>93</v>
      </c>
      <c r="D19" s="158" t="s">
        <v>94</v>
      </c>
      <c r="E19" s="69">
        <f>2840+114</f>
        <v>2954</v>
      </c>
      <c r="F19" s="49">
        <f t="shared" si="6"/>
        <v>2954</v>
      </c>
      <c r="G19" s="50">
        <f>2840*0.075</f>
        <v>213</v>
      </c>
      <c r="H19" s="50">
        <f>2840*0.1425</f>
        <v>404.7</v>
      </c>
      <c r="I19" s="51">
        <f t="shared" si="1"/>
        <v>165.79999999999998</v>
      </c>
      <c r="J19" s="52"/>
      <c r="K19" s="52">
        <v>0</v>
      </c>
      <c r="L19" s="53"/>
      <c r="M19" s="54">
        <f t="shared" si="3"/>
        <v>2575.1999999999998</v>
      </c>
      <c r="N19" s="55">
        <f t="shared" si="2"/>
        <v>3358.7</v>
      </c>
      <c r="O19" s="33" t="s">
        <v>69</v>
      </c>
      <c r="P19" s="60" t="s">
        <v>92</v>
      </c>
      <c r="Q19" s="60" t="s">
        <v>93</v>
      </c>
      <c r="R19" s="61" t="s">
        <v>55</v>
      </c>
      <c r="S19" s="62">
        <v>329111</v>
      </c>
      <c r="T19" s="60" t="s">
        <v>56</v>
      </c>
    </row>
    <row r="20" spans="1:20" x14ac:dyDescent="0.2">
      <c r="A20" s="45">
        <v>16</v>
      </c>
      <c r="B20" s="45" t="s">
        <v>98</v>
      </c>
      <c r="C20" s="46" t="s">
        <v>99</v>
      </c>
      <c r="D20" s="158" t="s">
        <v>100</v>
      </c>
      <c r="E20" s="68">
        <f>1675+50</f>
        <v>1725</v>
      </c>
      <c r="F20" s="52">
        <f t="shared" si="6"/>
        <v>1725</v>
      </c>
      <c r="G20" s="50">
        <f>1675*0.075</f>
        <v>125.625</v>
      </c>
      <c r="H20" s="50">
        <f>1675*0.1425</f>
        <v>238.68749999999997</v>
      </c>
      <c r="I20" s="51">
        <f t="shared" si="1"/>
        <v>11.25</v>
      </c>
      <c r="J20" s="52"/>
      <c r="K20" s="52">
        <v>0</v>
      </c>
      <c r="L20" s="53"/>
      <c r="M20" s="54">
        <f t="shared" si="3"/>
        <v>1588.125</v>
      </c>
      <c r="N20" s="55">
        <f t="shared" si="2"/>
        <v>1963.6875</v>
      </c>
      <c r="O20" s="33" t="s">
        <v>69</v>
      </c>
      <c r="P20" s="60" t="s">
        <v>98</v>
      </c>
      <c r="Q20" s="60" t="s">
        <v>99</v>
      </c>
      <c r="R20" s="61" t="s">
        <v>101</v>
      </c>
      <c r="S20" s="62">
        <v>349311</v>
      </c>
      <c r="T20" s="60" t="s">
        <v>102</v>
      </c>
    </row>
    <row r="21" spans="1:20" x14ac:dyDescent="0.2">
      <c r="A21" s="45">
        <v>17</v>
      </c>
      <c r="B21" s="45" t="s">
        <v>103</v>
      </c>
      <c r="C21" s="46" t="s">
        <v>104</v>
      </c>
      <c r="D21" s="158" t="s">
        <v>82</v>
      </c>
      <c r="E21" s="68">
        <f>1012+81</f>
        <v>1093</v>
      </c>
      <c r="F21" s="52">
        <f t="shared" si="6"/>
        <v>1093</v>
      </c>
      <c r="G21" s="50">
        <f>1012*0.075</f>
        <v>75.899999999999991</v>
      </c>
      <c r="H21" s="50">
        <f>1012*0.1425</f>
        <v>144.20999999999998</v>
      </c>
      <c r="I21" s="51">
        <f t="shared" si="1"/>
        <v>17.150000000000002</v>
      </c>
      <c r="J21" s="52"/>
      <c r="K21" s="52">
        <v>0</v>
      </c>
      <c r="L21" s="53"/>
      <c r="M21" s="54">
        <f t="shared" si="3"/>
        <v>999.95</v>
      </c>
      <c r="N21" s="55">
        <f t="shared" si="2"/>
        <v>1237.21</v>
      </c>
      <c r="O21" s="33" t="s">
        <v>54</v>
      </c>
      <c r="P21" s="60" t="s">
        <v>103</v>
      </c>
      <c r="Q21" s="60" t="s">
        <v>104</v>
      </c>
      <c r="R21" s="61" t="s">
        <v>59</v>
      </c>
      <c r="S21" s="62">
        <v>329111</v>
      </c>
      <c r="T21" s="60" t="s">
        <v>56</v>
      </c>
    </row>
    <row r="22" spans="1:20" x14ac:dyDescent="0.2">
      <c r="A22" s="45">
        <v>18</v>
      </c>
      <c r="B22" s="71" t="s">
        <v>107</v>
      </c>
      <c r="C22" s="46" t="s">
        <v>108</v>
      </c>
      <c r="D22" s="158" t="s">
        <v>109</v>
      </c>
      <c r="E22" s="68">
        <f>2500+121</f>
        <v>2621</v>
      </c>
      <c r="F22" s="52">
        <f t="shared" si="6"/>
        <v>2621</v>
      </c>
      <c r="G22" s="50">
        <f>2500*0.075</f>
        <v>187.5</v>
      </c>
      <c r="H22" s="50">
        <f>2500*0.1425</f>
        <v>356.24999999999994</v>
      </c>
      <c r="I22" s="51">
        <f t="shared" si="1"/>
        <v>105.64999999999999</v>
      </c>
      <c r="J22" s="52"/>
      <c r="K22" s="52">
        <v>0</v>
      </c>
      <c r="L22" s="53"/>
      <c r="M22" s="54">
        <f t="shared" si="3"/>
        <v>2327.85</v>
      </c>
      <c r="N22" s="55">
        <f t="shared" si="2"/>
        <v>2977.25</v>
      </c>
      <c r="O22" s="33" t="s">
        <v>69</v>
      </c>
      <c r="P22" s="60" t="s">
        <v>107</v>
      </c>
      <c r="Q22" s="60" t="s">
        <v>108</v>
      </c>
      <c r="R22" s="61" t="s">
        <v>59</v>
      </c>
      <c r="S22" s="62">
        <v>122111</v>
      </c>
      <c r="T22" s="60" t="s">
        <v>110</v>
      </c>
    </row>
    <row r="23" spans="1:20" x14ac:dyDescent="0.2">
      <c r="A23" s="45">
        <v>19</v>
      </c>
      <c r="B23" s="45" t="s">
        <v>111</v>
      </c>
      <c r="C23" s="46" t="s">
        <v>112</v>
      </c>
      <c r="D23" s="158" t="s">
        <v>82</v>
      </c>
      <c r="E23" s="68">
        <f>1012+51</f>
        <v>1063</v>
      </c>
      <c r="F23" s="52">
        <f t="shared" si="6"/>
        <v>1063</v>
      </c>
      <c r="G23" s="50">
        <f>1012*0.075</f>
        <v>75.899999999999991</v>
      </c>
      <c r="H23" s="50">
        <f>1012*0.1425</f>
        <v>144.20999999999998</v>
      </c>
      <c r="I23" s="51">
        <f t="shared" si="1"/>
        <v>15.65</v>
      </c>
      <c r="J23" s="52"/>
      <c r="K23" s="52">
        <v>0</v>
      </c>
      <c r="L23" s="53"/>
      <c r="M23" s="54">
        <f t="shared" si="3"/>
        <v>971.45</v>
      </c>
      <c r="N23" s="55">
        <f t="shared" si="2"/>
        <v>1207.21</v>
      </c>
      <c r="O23" s="33" t="s">
        <v>54</v>
      </c>
      <c r="P23" s="60" t="s">
        <v>111</v>
      </c>
      <c r="Q23" s="60" t="s">
        <v>112</v>
      </c>
      <c r="R23" s="61" t="s">
        <v>59</v>
      </c>
      <c r="S23" s="62">
        <v>329111</v>
      </c>
      <c r="T23" s="60" t="s">
        <v>56</v>
      </c>
    </row>
    <row r="24" spans="1:20" x14ac:dyDescent="0.2">
      <c r="A24" s="45">
        <v>20</v>
      </c>
      <c r="B24" s="45" t="s">
        <v>113</v>
      </c>
      <c r="C24" s="46" t="s">
        <v>114</v>
      </c>
      <c r="D24" s="158" t="s">
        <v>82</v>
      </c>
      <c r="E24" s="68">
        <f>976+49</f>
        <v>1025</v>
      </c>
      <c r="F24" s="52">
        <f t="shared" si="6"/>
        <v>1025</v>
      </c>
      <c r="G24" s="50">
        <f>976*0.075</f>
        <v>73.2</v>
      </c>
      <c r="H24" s="50">
        <f>976*0.1425</f>
        <v>139.07999999999998</v>
      </c>
      <c r="I24" s="51">
        <f t="shared" si="1"/>
        <v>13.75</v>
      </c>
      <c r="J24" s="52"/>
      <c r="K24" s="52">
        <v>0</v>
      </c>
      <c r="L24" s="53"/>
      <c r="M24" s="54">
        <f t="shared" si="3"/>
        <v>938.05</v>
      </c>
      <c r="N24" s="55">
        <f t="shared" si="2"/>
        <v>1164.08</v>
      </c>
      <c r="O24" s="33" t="s">
        <v>54</v>
      </c>
      <c r="P24" s="60" t="s">
        <v>113</v>
      </c>
      <c r="Q24" s="60" t="s">
        <v>114</v>
      </c>
      <c r="R24" s="61" t="s">
        <v>59</v>
      </c>
      <c r="S24" s="62">
        <v>329111</v>
      </c>
      <c r="T24" s="60" t="s">
        <v>56</v>
      </c>
    </row>
    <row r="25" spans="1:20" x14ac:dyDescent="0.2">
      <c r="A25" s="45">
        <v>21</v>
      </c>
      <c r="B25" s="45" t="s">
        <v>115</v>
      </c>
      <c r="C25" s="46" t="s">
        <v>116</v>
      </c>
      <c r="D25" s="158" t="s">
        <v>82</v>
      </c>
      <c r="E25" s="68">
        <f>1012+51</f>
        <v>1063</v>
      </c>
      <c r="F25" s="52">
        <f t="shared" si="6"/>
        <v>1063</v>
      </c>
      <c r="G25" s="50">
        <f>1012*0.075</f>
        <v>75.899999999999991</v>
      </c>
      <c r="H25" s="50">
        <f>1012*0.1425</f>
        <v>144.20999999999998</v>
      </c>
      <c r="I25" s="51">
        <f t="shared" si="1"/>
        <v>15.65</v>
      </c>
      <c r="J25" s="52"/>
      <c r="K25" s="52">
        <v>0</v>
      </c>
      <c r="L25" s="53"/>
      <c r="M25" s="54">
        <f t="shared" si="3"/>
        <v>971.45</v>
      </c>
      <c r="N25" s="55">
        <f t="shared" si="2"/>
        <v>1207.21</v>
      </c>
      <c r="O25" s="33" t="s">
        <v>54</v>
      </c>
      <c r="P25" s="60" t="s">
        <v>115</v>
      </c>
      <c r="Q25" s="60" t="s">
        <v>116</v>
      </c>
      <c r="R25" s="61" t="s">
        <v>59</v>
      </c>
      <c r="S25" s="62">
        <v>329111</v>
      </c>
      <c r="T25" s="60" t="s">
        <v>56</v>
      </c>
    </row>
    <row r="26" spans="1:20" x14ac:dyDescent="0.2">
      <c r="A26" s="45">
        <v>22</v>
      </c>
      <c r="B26" s="71" t="s">
        <v>117</v>
      </c>
      <c r="C26" s="46" t="s">
        <v>118</v>
      </c>
      <c r="D26" s="158" t="s">
        <v>97</v>
      </c>
      <c r="E26" s="68">
        <f>1000+82</f>
        <v>1082</v>
      </c>
      <c r="F26" s="52">
        <f t="shared" si="6"/>
        <v>1082</v>
      </c>
      <c r="G26" s="50">
        <f>1000*0.075</f>
        <v>75</v>
      </c>
      <c r="H26" s="50">
        <f>1000*0.1425</f>
        <v>142.5</v>
      </c>
      <c r="I26" s="51">
        <f t="shared" si="1"/>
        <v>16.600000000000001</v>
      </c>
      <c r="J26" s="52"/>
      <c r="K26" s="52">
        <v>0</v>
      </c>
      <c r="L26" s="53"/>
      <c r="M26" s="54">
        <f t="shared" si="3"/>
        <v>990.4</v>
      </c>
      <c r="N26" s="55">
        <f t="shared" si="2"/>
        <v>1224.5</v>
      </c>
      <c r="O26" s="33" t="s">
        <v>54</v>
      </c>
      <c r="P26" s="60" t="s">
        <v>117</v>
      </c>
      <c r="Q26" s="60" t="s">
        <v>118</v>
      </c>
      <c r="R26" s="61" t="s">
        <v>59</v>
      </c>
      <c r="S26" s="62">
        <v>323111</v>
      </c>
      <c r="T26" s="60" t="s">
        <v>56</v>
      </c>
    </row>
    <row r="27" spans="1:20" x14ac:dyDescent="0.2">
      <c r="A27" s="45">
        <v>23</v>
      </c>
      <c r="B27" s="71" t="s">
        <v>119</v>
      </c>
      <c r="C27" s="46" t="s">
        <v>120</v>
      </c>
      <c r="D27" s="158" t="s">
        <v>85</v>
      </c>
      <c r="E27" s="68">
        <f>1705+51</f>
        <v>1756</v>
      </c>
      <c r="F27" s="52">
        <f t="shared" si="6"/>
        <v>1756</v>
      </c>
      <c r="G27" s="50">
        <f>1705*0.075</f>
        <v>127.875</v>
      </c>
      <c r="H27" s="50">
        <f>1705*0.1425</f>
        <v>242.96249999999998</v>
      </c>
      <c r="I27" s="51">
        <f t="shared" si="1"/>
        <v>88.399999999999991</v>
      </c>
      <c r="J27" s="52"/>
      <c r="K27" s="52">
        <v>0</v>
      </c>
      <c r="L27" s="53"/>
      <c r="M27" s="54">
        <f t="shared" si="3"/>
        <v>1539.7249999999999</v>
      </c>
      <c r="N27" s="55">
        <f t="shared" si="2"/>
        <v>1998.9625000000001</v>
      </c>
      <c r="O27" s="33" t="s">
        <v>54</v>
      </c>
      <c r="P27" s="60" t="s">
        <v>119</v>
      </c>
      <c r="Q27" s="60" t="s">
        <v>120</v>
      </c>
      <c r="R27" s="61" t="s">
        <v>59</v>
      </c>
      <c r="S27" s="62">
        <v>323111</v>
      </c>
      <c r="T27" s="60" t="s">
        <v>56</v>
      </c>
    </row>
    <row r="28" spans="1:20" x14ac:dyDescent="0.2">
      <c r="A28" s="45">
        <v>24</v>
      </c>
      <c r="B28" s="71" t="s">
        <v>121</v>
      </c>
      <c r="C28" s="46" t="s">
        <v>122</v>
      </c>
      <c r="D28" s="158" t="s">
        <v>123</v>
      </c>
      <c r="E28" s="68">
        <f>1633+66</f>
        <v>1699</v>
      </c>
      <c r="F28" s="52">
        <f t="shared" si="6"/>
        <v>1699</v>
      </c>
      <c r="G28" s="50">
        <f>1633*0.075</f>
        <v>122.47499999999999</v>
      </c>
      <c r="H28" s="50">
        <f>1633*0.1425</f>
        <v>232.70249999999999</v>
      </c>
      <c r="I28" s="51">
        <f t="shared" si="1"/>
        <v>79.850000000000009</v>
      </c>
      <c r="J28" s="52"/>
      <c r="K28" s="52">
        <v>0</v>
      </c>
      <c r="L28" s="53"/>
      <c r="M28" s="54">
        <f t="shared" si="3"/>
        <v>1496.675</v>
      </c>
      <c r="N28" s="55">
        <f t="shared" si="2"/>
        <v>1931.7024999999999</v>
      </c>
      <c r="O28" s="33" t="s">
        <v>54</v>
      </c>
      <c r="P28" s="60" t="s">
        <v>121</v>
      </c>
      <c r="Q28" s="60" t="s">
        <v>122</v>
      </c>
      <c r="R28" s="61" t="s">
        <v>59</v>
      </c>
      <c r="S28" s="62">
        <v>323111</v>
      </c>
      <c r="T28" s="60" t="s">
        <v>56</v>
      </c>
    </row>
    <row r="29" spans="1:20" x14ac:dyDescent="0.2">
      <c r="A29" s="45">
        <v>25</v>
      </c>
      <c r="B29" s="71" t="s">
        <v>124</v>
      </c>
      <c r="C29" s="46" t="s">
        <v>125</v>
      </c>
      <c r="D29" s="158" t="s">
        <v>77</v>
      </c>
      <c r="E29" s="68">
        <f>1450+90</f>
        <v>1540</v>
      </c>
      <c r="F29" s="52">
        <f t="shared" si="6"/>
        <v>1540</v>
      </c>
      <c r="G29" s="50">
        <f>1450*0.075</f>
        <v>108.75</v>
      </c>
      <c r="H29" s="50">
        <f>1450*0.1425</f>
        <v>206.62499999999997</v>
      </c>
      <c r="I29" s="51">
        <f t="shared" si="1"/>
        <v>58.166666666666664</v>
      </c>
      <c r="J29" s="52"/>
      <c r="K29" s="52">
        <v>0</v>
      </c>
      <c r="L29" s="53"/>
      <c r="M29" s="54">
        <f t="shared" si="3"/>
        <v>1373.0833333333333</v>
      </c>
      <c r="N29" s="55">
        <f t="shared" si="2"/>
        <v>1746.625</v>
      </c>
      <c r="O29" s="33" t="s">
        <v>54</v>
      </c>
      <c r="P29" s="60" t="s">
        <v>124</v>
      </c>
      <c r="Q29" s="60" t="s">
        <v>125</v>
      </c>
      <c r="R29" s="61" t="s">
        <v>59</v>
      </c>
      <c r="S29" s="62">
        <v>323111</v>
      </c>
      <c r="T29" s="60" t="s">
        <v>56</v>
      </c>
    </row>
    <row r="30" spans="1:20" x14ac:dyDescent="0.2">
      <c r="A30" s="45">
        <v>26</v>
      </c>
      <c r="B30" s="71" t="s">
        <v>126</v>
      </c>
      <c r="C30" s="46" t="s">
        <v>127</v>
      </c>
      <c r="D30" s="158" t="s">
        <v>128</v>
      </c>
      <c r="E30" s="68">
        <f>615+62</f>
        <v>677</v>
      </c>
      <c r="F30" s="52">
        <f t="shared" si="6"/>
        <v>677</v>
      </c>
      <c r="G30" s="50">
        <f>615*0.075</f>
        <v>46.125</v>
      </c>
      <c r="H30" s="50">
        <f>615*0.1425</f>
        <v>87.637499999999989</v>
      </c>
      <c r="I30" s="51">
        <f t="shared" si="1"/>
        <v>0</v>
      </c>
      <c r="J30" s="52"/>
      <c r="K30" s="52">
        <v>0</v>
      </c>
      <c r="L30" s="53"/>
      <c r="M30" s="54">
        <f t="shared" si="3"/>
        <v>630.875</v>
      </c>
      <c r="N30" s="55">
        <f t="shared" si="2"/>
        <v>764.63750000000005</v>
      </c>
      <c r="O30" s="33" t="s">
        <v>54</v>
      </c>
      <c r="P30" s="60" t="s">
        <v>126</v>
      </c>
      <c r="Q30" s="60" t="s">
        <v>127</v>
      </c>
      <c r="R30" s="61" t="s">
        <v>59</v>
      </c>
      <c r="S30" s="62">
        <v>325311</v>
      </c>
      <c r="T30" s="72" t="s">
        <v>56</v>
      </c>
    </row>
    <row r="31" spans="1:20" x14ac:dyDescent="0.2">
      <c r="A31" s="45">
        <v>27</v>
      </c>
      <c r="B31" s="71" t="s">
        <v>129</v>
      </c>
      <c r="C31" s="46" t="s">
        <v>130</v>
      </c>
      <c r="D31" s="158" t="s">
        <v>85</v>
      </c>
      <c r="E31" s="68">
        <f>1193+59</f>
        <v>1252</v>
      </c>
      <c r="F31" s="52">
        <f t="shared" si="6"/>
        <v>1252</v>
      </c>
      <c r="G31" s="50">
        <f>1193*0.075</f>
        <v>89.474999999999994</v>
      </c>
      <c r="H31" s="50">
        <f>1193*0.1425</f>
        <v>170.0025</v>
      </c>
      <c r="I31" s="51">
        <f t="shared" si="1"/>
        <v>29.366666666666664</v>
      </c>
      <c r="J31" s="52"/>
      <c r="K31" s="52">
        <v>0</v>
      </c>
      <c r="L31" s="53"/>
      <c r="M31" s="54">
        <f t="shared" si="3"/>
        <v>1133.1583333333333</v>
      </c>
      <c r="N31" s="55">
        <f t="shared" si="2"/>
        <v>1422.0025000000001</v>
      </c>
      <c r="O31" s="33" t="s">
        <v>54</v>
      </c>
      <c r="P31" s="60" t="s">
        <v>129</v>
      </c>
      <c r="Q31" s="60" t="s">
        <v>130</v>
      </c>
      <c r="R31" s="61" t="s">
        <v>59</v>
      </c>
      <c r="S31" s="62">
        <v>323111</v>
      </c>
      <c r="T31" s="60" t="s">
        <v>56</v>
      </c>
    </row>
    <row r="32" spans="1:20" x14ac:dyDescent="0.2">
      <c r="A32" s="45">
        <v>28</v>
      </c>
      <c r="B32" s="71" t="s">
        <v>131</v>
      </c>
      <c r="C32" s="46" t="s">
        <v>132</v>
      </c>
      <c r="D32" s="158" t="s">
        <v>133</v>
      </c>
      <c r="E32" s="68">
        <f>2272+68</f>
        <v>2340</v>
      </c>
      <c r="F32" s="52">
        <f t="shared" si="6"/>
        <v>2340</v>
      </c>
      <c r="G32" s="50">
        <f>2272*0.075</f>
        <v>170.4</v>
      </c>
      <c r="H32" s="52">
        <f>2272*0.1425</f>
        <v>323.76</v>
      </c>
      <c r="I32" s="51">
        <f t="shared" si="1"/>
        <v>193</v>
      </c>
      <c r="J32" s="52"/>
      <c r="K32" s="52">
        <v>0</v>
      </c>
      <c r="L32" s="53"/>
      <c r="M32" s="54">
        <f t="shared" si="3"/>
        <v>1976.6</v>
      </c>
      <c r="N32" s="55">
        <f t="shared" si="2"/>
        <v>2663.76</v>
      </c>
      <c r="O32" s="33" t="s">
        <v>54</v>
      </c>
      <c r="P32" s="60" t="s">
        <v>131</v>
      </c>
      <c r="Q32" s="60" t="s">
        <v>132</v>
      </c>
      <c r="R32" s="61" t="s">
        <v>59</v>
      </c>
      <c r="S32" s="62">
        <v>323111</v>
      </c>
      <c r="T32" s="60" t="s">
        <v>56</v>
      </c>
    </row>
    <row r="33" spans="1:20" x14ac:dyDescent="0.2">
      <c r="A33" s="45">
        <v>29</v>
      </c>
      <c r="B33" s="71" t="s">
        <v>134</v>
      </c>
      <c r="C33" s="46" t="s">
        <v>135</v>
      </c>
      <c r="D33" s="158" t="s">
        <v>136</v>
      </c>
      <c r="E33" s="68">
        <f>815+43</f>
        <v>858</v>
      </c>
      <c r="F33" s="52">
        <f t="shared" si="6"/>
        <v>858</v>
      </c>
      <c r="G33" s="50">
        <f>815*0.075</f>
        <v>61.125</v>
      </c>
      <c r="H33" s="50">
        <f>815*0.1425</f>
        <v>116.13749999999999</v>
      </c>
      <c r="I33" s="51">
        <f t="shared" si="1"/>
        <v>5.3999999999999995</v>
      </c>
      <c r="J33" s="52"/>
      <c r="K33" s="52">
        <v>0</v>
      </c>
      <c r="L33" s="53"/>
      <c r="M33" s="54">
        <f t="shared" si="3"/>
        <v>791.47500000000002</v>
      </c>
      <c r="N33" s="55">
        <f t="shared" si="2"/>
        <v>974.13750000000005</v>
      </c>
      <c r="O33" s="33" t="s">
        <v>54</v>
      </c>
      <c r="P33" s="60" t="s">
        <v>134</v>
      </c>
      <c r="Q33" s="60" t="s">
        <v>135</v>
      </c>
      <c r="R33" s="61" t="s">
        <v>137</v>
      </c>
      <c r="S33" s="62">
        <v>311311</v>
      </c>
      <c r="T33" s="60" t="s">
        <v>138</v>
      </c>
    </row>
    <row r="34" spans="1:20" x14ac:dyDescent="0.2">
      <c r="A34" s="45">
        <v>30</v>
      </c>
      <c r="B34" s="71" t="s">
        <v>139</v>
      </c>
      <c r="C34" s="46" t="s">
        <v>140</v>
      </c>
      <c r="D34" s="158" t="s">
        <v>65</v>
      </c>
      <c r="E34" s="68">
        <f>1022+52</f>
        <v>1074</v>
      </c>
      <c r="F34" s="52">
        <f t="shared" si="6"/>
        <v>1074</v>
      </c>
      <c r="G34" s="50">
        <f>1022*0.075</f>
        <v>76.649999999999991</v>
      </c>
      <c r="H34" s="50">
        <f>1022*0.1425</f>
        <v>145.63499999999999</v>
      </c>
      <c r="I34" s="51">
        <f t="shared" si="1"/>
        <v>0</v>
      </c>
      <c r="J34" s="52"/>
      <c r="K34" s="52">
        <v>0</v>
      </c>
      <c r="L34" s="53"/>
      <c r="M34" s="54">
        <f t="shared" si="3"/>
        <v>997.35</v>
      </c>
      <c r="N34" s="55">
        <f t="shared" si="2"/>
        <v>1219.635</v>
      </c>
      <c r="O34" s="33" t="s">
        <v>69</v>
      </c>
      <c r="P34" s="60" t="s">
        <v>139</v>
      </c>
      <c r="Q34" s="60" t="s">
        <v>140</v>
      </c>
      <c r="R34" s="61" t="s">
        <v>59</v>
      </c>
      <c r="S34" s="62">
        <v>323111</v>
      </c>
      <c r="T34" s="60" t="s">
        <v>56</v>
      </c>
    </row>
    <row r="35" spans="1:20" x14ac:dyDescent="0.2">
      <c r="A35" s="45">
        <v>31</v>
      </c>
      <c r="B35" s="71" t="s">
        <v>141</v>
      </c>
      <c r="C35" s="46" t="s">
        <v>142</v>
      </c>
      <c r="D35" s="158" t="s">
        <v>143</v>
      </c>
      <c r="E35" s="68">
        <f>2800+96</f>
        <v>2896</v>
      </c>
      <c r="F35" s="52">
        <f t="shared" si="6"/>
        <v>2896</v>
      </c>
      <c r="G35" s="50">
        <f>2800*0.075</f>
        <v>210</v>
      </c>
      <c r="H35" s="50">
        <f>2800*0.1425</f>
        <v>398.99999999999994</v>
      </c>
      <c r="I35" s="51">
        <f t="shared" si="1"/>
        <v>154.20000000000002</v>
      </c>
      <c r="J35" s="52"/>
      <c r="K35" s="52">
        <v>0</v>
      </c>
      <c r="L35" s="53"/>
      <c r="M35" s="54">
        <f t="shared" si="3"/>
        <v>2531.8000000000002</v>
      </c>
      <c r="N35" s="55">
        <f t="shared" si="2"/>
        <v>3295</v>
      </c>
      <c r="O35" s="33" t="s">
        <v>69</v>
      </c>
      <c r="P35" s="60" t="s">
        <v>141</v>
      </c>
      <c r="Q35" s="60" t="s">
        <v>142</v>
      </c>
      <c r="R35" s="61" t="s">
        <v>59</v>
      </c>
      <c r="S35" s="62">
        <v>323111</v>
      </c>
      <c r="T35" s="60" t="s">
        <v>56</v>
      </c>
    </row>
    <row r="36" spans="1:20" x14ac:dyDescent="0.2">
      <c r="A36" s="45">
        <v>32</v>
      </c>
      <c r="B36" s="71" t="s">
        <v>144</v>
      </c>
      <c r="C36" s="46" t="s">
        <v>145</v>
      </c>
      <c r="D36" s="158" t="s">
        <v>65</v>
      </c>
      <c r="E36" s="68">
        <f>1065+53</f>
        <v>1118</v>
      </c>
      <c r="F36" s="52">
        <f t="shared" si="6"/>
        <v>1118</v>
      </c>
      <c r="G36" s="50">
        <f>1065*0.075</f>
        <v>79.875</v>
      </c>
      <c r="H36" s="50">
        <f>1065*0.1425</f>
        <v>151.76249999999999</v>
      </c>
      <c r="I36" s="51">
        <f t="shared" si="1"/>
        <v>18.400000000000002</v>
      </c>
      <c r="J36" s="52"/>
      <c r="K36" s="52">
        <v>0</v>
      </c>
      <c r="L36" s="53"/>
      <c r="M36" s="54">
        <f t="shared" si="3"/>
        <v>1019.725</v>
      </c>
      <c r="N36" s="55">
        <f t="shared" si="2"/>
        <v>1269.7625</v>
      </c>
      <c r="O36" s="33" t="s">
        <v>54</v>
      </c>
      <c r="P36" s="60" t="s">
        <v>144</v>
      </c>
      <c r="Q36" s="60" t="s">
        <v>145</v>
      </c>
      <c r="R36" s="61" t="s">
        <v>59</v>
      </c>
      <c r="S36" s="62">
        <v>323111</v>
      </c>
      <c r="T36" s="60" t="s">
        <v>56</v>
      </c>
    </row>
    <row r="37" spans="1:20" x14ac:dyDescent="0.2">
      <c r="A37" s="45">
        <v>33</v>
      </c>
      <c r="B37" s="71" t="s">
        <v>146</v>
      </c>
      <c r="C37" s="46" t="s">
        <v>147</v>
      </c>
      <c r="D37" s="158" t="s">
        <v>148</v>
      </c>
      <c r="E37" s="68">
        <f>1600+47</f>
        <v>1647</v>
      </c>
      <c r="F37" s="52">
        <f t="shared" si="6"/>
        <v>1647</v>
      </c>
      <c r="G37" s="50">
        <f>1600*0.075</f>
        <v>120</v>
      </c>
      <c r="H37" s="50">
        <f>1600*0.1425</f>
        <v>227.99999999999997</v>
      </c>
      <c r="I37" s="51">
        <f t="shared" si="1"/>
        <v>7.3500000000000005</v>
      </c>
      <c r="J37" s="52"/>
      <c r="K37" s="52">
        <v>0</v>
      </c>
      <c r="L37" s="53"/>
      <c r="M37" s="54">
        <f t="shared" si="3"/>
        <v>1519.65</v>
      </c>
      <c r="N37" s="55">
        <f t="shared" si="2"/>
        <v>1875</v>
      </c>
      <c r="O37" s="33" t="s">
        <v>69</v>
      </c>
      <c r="P37" s="60" t="s">
        <v>146</v>
      </c>
      <c r="Q37" s="60" t="s">
        <v>147</v>
      </c>
      <c r="R37" s="61" t="s">
        <v>101</v>
      </c>
      <c r="S37" s="62">
        <v>349311</v>
      </c>
      <c r="T37" s="60" t="s">
        <v>102</v>
      </c>
    </row>
    <row r="38" spans="1:20" x14ac:dyDescent="0.2">
      <c r="A38" s="45">
        <v>34</v>
      </c>
      <c r="B38" s="71" t="s">
        <v>149</v>
      </c>
      <c r="C38" s="46" t="s">
        <v>150</v>
      </c>
      <c r="D38" s="158" t="s">
        <v>143</v>
      </c>
      <c r="E38" s="68">
        <f>2740+111</f>
        <v>2851</v>
      </c>
      <c r="F38" s="52">
        <f t="shared" si="6"/>
        <v>2851</v>
      </c>
      <c r="G38" s="50">
        <f>2740*0.075</f>
        <v>205.5</v>
      </c>
      <c r="H38" s="50">
        <f>2740*0.1425</f>
        <v>390.45</v>
      </c>
      <c r="I38" s="51">
        <f t="shared" si="1"/>
        <v>145.20000000000002</v>
      </c>
      <c r="J38" s="52"/>
      <c r="K38" s="52">
        <v>0</v>
      </c>
      <c r="L38" s="53"/>
      <c r="M38" s="54">
        <f t="shared" si="3"/>
        <v>2500.3000000000002</v>
      </c>
      <c r="N38" s="55">
        <f t="shared" si="2"/>
        <v>3241.45</v>
      </c>
      <c r="O38" s="33" t="s">
        <v>69</v>
      </c>
      <c r="P38" s="60" t="s">
        <v>149</v>
      </c>
      <c r="Q38" s="60" t="s">
        <v>150</v>
      </c>
      <c r="R38" s="61" t="s">
        <v>59</v>
      </c>
      <c r="S38" s="62">
        <v>323111</v>
      </c>
      <c r="T38" s="60" t="s">
        <v>56</v>
      </c>
    </row>
    <row r="39" spans="1:20" x14ac:dyDescent="0.2">
      <c r="A39" s="45">
        <v>35</v>
      </c>
      <c r="B39" s="71" t="s">
        <v>151</v>
      </c>
      <c r="C39" s="46" t="s">
        <v>152</v>
      </c>
      <c r="D39" s="158" t="s">
        <v>143</v>
      </c>
      <c r="E39" s="68">
        <f>2270+70</f>
        <v>2340</v>
      </c>
      <c r="F39" s="52">
        <f t="shared" si="6"/>
        <v>2340</v>
      </c>
      <c r="G39" s="50">
        <f>2270*0.075</f>
        <v>170.25</v>
      </c>
      <c r="H39" s="52">
        <f>2270*0.1425</f>
        <v>323.47499999999997</v>
      </c>
      <c r="I39" s="51">
        <f t="shared" si="1"/>
        <v>63.5</v>
      </c>
      <c r="J39" s="52"/>
      <c r="K39" s="52">
        <v>0</v>
      </c>
      <c r="L39" s="53"/>
      <c r="M39" s="54">
        <f t="shared" si="3"/>
        <v>2106.25</v>
      </c>
      <c r="N39" s="55">
        <f t="shared" si="2"/>
        <v>2663.4749999999999</v>
      </c>
      <c r="O39" s="33" t="s">
        <v>69</v>
      </c>
      <c r="P39" s="60" t="s">
        <v>151</v>
      </c>
      <c r="Q39" s="60" t="s">
        <v>152</v>
      </c>
      <c r="R39" s="61" t="s">
        <v>59</v>
      </c>
      <c r="S39" s="62">
        <v>323111</v>
      </c>
      <c r="T39" s="60" t="s">
        <v>56</v>
      </c>
    </row>
    <row r="40" spans="1:20" x14ac:dyDescent="0.2">
      <c r="A40" s="45">
        <v>36</v>
      </c>
      <c r="B40" s="71" t="s">
        <v>153</v>
      </c>
      <c r="C40" s="46" t="s">
        <v>154</v>
      </c>
      <c r="D40" s="158" t="s">
        <v>97</v>
      </c>
      <c r="E40" s="68">
        <f>900+39</f>
        <v>939</v>
      </c>
      <c r="F40" s="52">
        <f t="shared" si="6"/>
        <v>939</v>
      </c>
      <c r="G40" s="50">
        <f>900*0.075</f>
        <v>67.5</v>
      </c>
      <c r="H40" s="50">
        <f>900*0.1425</f>
        <v>128.25</v>
      </c>
      <c r="I40" s="51">
        <f t="shared" si="1"/>
        <v>9.4500000000000011</v>
      </c>
      <c r="J40" s="52"/>
      <c r="K40" s="52">
        <v>0</v>
      </c>
      <c r="L40" s="53"/>
      <c r="M40" s="54">
        <f t="shared" si="3"/>
        <v>862.05</v>
      </c>
      <c r="N40" s="55">
        <f t="shared" si="2"/>
        <v>1067.25</v>
      </c>
      <c r="O40" s="33" t="s">
        <v>54</v>
      </c>
      <c r="P40" s="60" t="s">
        <v>153</v>
      </c>
      <c r="Q40" s="60" t="s">
        <v>154</v>
      </c>
      <c r="R40" s="61" t="s">
        <v>59</v>
      </c>
      <c r="S40" s="62">
        <v>323111</v>
      </c>
      <c r="T40" s="60" t="s">
        <v>56</v>
      </c>
    </row>
    <row r="41" spans="1:20" x14ac:dyDescent="0.2">
      <c r="A41" s="45">
        <v>37</v>
      </c>
      <c r="B41" s="71" t="s">
        <v>155</v>
      </c>
      <c r="C41" s="46" t="s">
        <v>156</v>
      </c>
      <c r="D41" s="158" t="s">
        <v>157</v>
      </c>
      <c r="E41" s="69">
        <f>1193+96</f>
        <v>1289</v>
      </c>
      <c r="F41" s="49">
        <f t="shared" si="6"/>
        <v>1289</v>
      </c>
      <c r="G41" s="50">
        <f>1193*0.075</f>
        <v>89.474999999999994</v>
      </c>
      <c r="H41" s="50">
        <f>1193*0.1425</f>
        <v>170.0025</v>
      </c>
      <c r="I41" s="51">
        <f t="shared" si="1"/>
        <v>33.06666666666667</v>
      </c>
      <c r="J41" s="52"/>
      <c r="K41" s="52">
        <v>0</v>
      </c>
      <c r="L41" s="53"/>
      <c r="M41" s="54">
        <f t="shared" si="3"/>
        <v>1166.4583333333333</v>
      </c>
      <c r="N41" s="55">
        <f t="shared" si="2"/>
        <v>1459.0025000000001</v>
      </c>
      <c r="O41" s="33" t="s">
        <v>54</v>
      </c>
      <c r="P41" s="60" t="s">
        <v>155</v>
      </c>
      <c r="Q41" s="60" t="s">
        <v>156</v>
      </c>
      <c r="R41" s="61" t="s">
        <v>55</v>
      </c>
      <c r="S41" s="62">
        <v>325311</v>
      </c>
      <c r="T41" s="72" t="s">
        <v>56</v>
      </c>
    </row>
    <row r="42" spans="1:20" x14ac:dyDescent="0.2">
      <c r="A42" s="45">
        <v>38</v>
      </c>
      <c r="B42" s="71" t="s">
        <v>158</v>
      </c>
      <c r="C42" s="46" t="s">
        <v>159</v>
      </c>
      <c r="D42" s="158" t="s">
        <v>160</v>
      </c>
      <c r="E42" s="68">
        <f>900+45</f>
        <v>945</v>
      </c>
      <c r="F42" s="52">
        <f t="shared" si="6"/>
        <v>945</v>
      </c>
      <c r="G42" s="50">
        <f>900*0.075</f>
        <v>67.5</v>
      </c>
      <c r="H42" s="50">
        <f>900*0.1425</f>
        <v>128.25</v>
      </c>
      <c r="I42" s="51">
        <f t="shared" si="1"/>
        <v>9.75</v>
      </c>
      <c r="J42" s="52"/>
      <c r="K42" s="52">
        <v>0</v>
      </c>
      <c r="L42" s="53"/>
      <c r="M42" s="54">
        <f t="shared" si="3"/>
        <v>867.75</v>
      </c>
      <c r="N42" s="55">
        <f t="shared" si="2"/>
        <v>1073.25</v>
      </c>
      <c r="O42" s="33" t="s">
        <v>54</v>
      </c>
      <c r="P42" s="60" t="s">
        <v>158</v>
      </c>
      <c r="Q42" s="60" t="s">
        <v>159</v>
      </c>
      <c r="R42" s="61" t="s">
        <v>55</v>
      </c>
      <c r="S42" s="62">
        <v>323111</v>
      </c>
      <c r="T42" s="60" t="s">
        <v>56</v>
      </c>
    </row>
    <row r="43" spans="1:20" x14ac:dyDescent="0.2">
      <c r="A43" s="45">
        <v>39</v>
      </c>
      <c r="B43" s="71" t="s">
        <v>161</v>
      </c>
      <c r="C43" s="73" t="s">
        <v>162</v>
      </c>
      <c r="D43" s="158" t="s">
        <v>163</v>
      </c>
      <c r="E43" s="68">
        <f>450+38</f>
        <v>488</v>
      </c>
      <c r="F43" s="52">
        <f t="shared" si="6"/>
        <v>488</v>
      </c>
      <c r="G43" s="50">
        <f>450*0.075</f>
        <v>33.75</v>
      </c>
      <c r="H43" s="50">
        <f>450*0.1425</f>
        <v>64.125</v>
      </c>
      <c r="I43" s="51">
        <f t="shared" si="1"/>
        <v>0</v>
      </c>
      <c r="J43" s="52"/>
      <c r="K43" s="52">
        <v>0</v>
      </c>
      <c r="L43" s="53"/>
      <c r="M43" s="54">
        <f t="shared" si="3"/>
        <v>454.25</v>
      </c>
      <c r="N43" s="55">
        <f t="shared" si="2"/>
        <v>552.125</v>
      </c>
      <c r="O43" s="33" t="s">
        <v>69</v>
      </c>
      <c r="P43" s="60" t="s">
        <v>161</v>
      </c>
      <c r="Q43" s="60" t="s">
        <v>162</v>
      </c>
      <c r="R43" s="61" t="s">
        <v>59</v>
      </c>
      <c r="S43" s="62">
        <v>134311</v>
      </c>
      <c r="T43" s="60" t="s">
        <v>164</v>
      </c>
    </row>
    <row r="44" spans="1:20" x14ac:dyDescent="0.2">
      <c r="A44" s="45">
        <v>40</v>
      </c>
      <c r="B44" s="71" t="s">
        <v>165</v>
      </c>
      <c r="C44" s="46" t="s">
        <v>166</v>
      </c>
      <c r="D44" s="158" t="s">
        <v>167</v>
      </c>
      <c r="E44" s="68">
        <f>1700+52</f>
        <v>1752</v>
      </c>
      <c r="F44" s="52">
        <f t="shared" si="6"/>
        <v>1752</v>
      </c>
      <c r="G44" s="50">
        <f>1700*0.075</f>
        <v>127.5</v>
      </c>
      <c r="H44" s="50">
        <f>1700*0.1425</f>
        <v>242.24999999999997</v>
      </c>
      <c r="I44" s="51">
        <f t="shared" si="1"/>
        <v>12.600000000000001</v>
      </c>
      <c r="J44" s="52"/>
      <c r="K44" s="52">
        <v>0</v>
      </c>
      <c r="L44" s="53"/>
      <c r="M44" s="54">
        <f t="shared" si="3"/>
        <v>1611.9</v>
      </c>
      <c r="N44" s="55">
        <f t="shared" si="2"/>
        <v>1994.25</v>
      </c>
      <c r="O44" s="33" t="s">
        <v>69</v>
      </c>
      <c r="P44" s="60" t="s">
        <v>165</v>
      </c>
      <c r="Q44" s="60" t="s">
        <v>166</v>
      </c>
      <c r="R44" s="61" t="s">
        <v>55</v>
      </c>
      <c r="S44" s="62">
        <v>323111</v>
      </c>
      <c r="T44" s="60" t="s">
        <v>56</v>
      </c>
    </row>
    <row r="45" spans="1:20" x14ac:dyDescent="0.2">
      <c r="A45" s="45">
        <v>41</v>
      </c>
      <c r="B45" s="71" t="s">
        <v>168</v>
      </c>
      <c r="C45" s="46" t="s">
        <v>169</v>
      </c>
      <c r="D45" s="158" t="s">
        <v>170</v>
      </c>
      <c r="E45" s="74">
        <f>350+38</f>
        <v>388</v>
      </c>
      <c r="F45" s="52">
        <f t="shared" si="6"/>
        <v>388</v>
      </c>
      <c r="G45" s="50">
        <f>350*0.075</f>
        <v>26.25</v>
      </c>
      <c r="H45" s="50">
        <f>350*0.1425</f>
        <v>49.874999999999993</v>
      </c>
      <c r="I45" s="51">
        <f t="shared" si="1"/>
        <v>0</v>
      </c>
      <c r="J45" s="52"/>
      <c r="K45" s="52">
        <v>0</v>
      </c>
      <c r="L45" s="53"/>
      <c r="M45" s="54">
        <f t="shared" si="3"/>
        <v>361.75</v>
      </c>
      <c r="N45" s="55">
        <f t="shared" si="2"/>
        <v>437.875</v>
      </c>
      <c r="O45" s="33" t="s">
        <v>54</v>
      </c>
      <c r="P45" s="60" t="s">
        <v>168</v>
      </c>
      <c r="Q45" s="60" t="s">
        <v>169</v>
      </c>
      <c r="R45" s="61" t="s">
        <v>55</v>
      </c>
      <c r="S45" s="62">
        <v>325311</v>
      </c>
      <c r="T45" s="72" t="s">
        <v>56</v>
      </c>
    </row>
    <row r="46" spans="1:20" x14ac:dyDescent="0.2">
      <c r="A46" s="45">
        <v>42</v>
      </c>
      <c r="B46" s="71" t="s">
        <v>171</v>
      </c>
      <c r="C46" s="46" t="s">
        <v>172</v>
      </c>
      <c r="D46" s="158" t="s">
        <v>53</v>
      </c>
      <c r="E46" s="74">
        <f>700+38</f>
        <v>738</v>
      </c>
      <c r="F46" s="52">
        <f t="shared" si="6"/>
        <v>738</v>
      </c>
      <c r="G46" s="50">
        <f>700*0.075</f>
        <v>52.5</v>
      </c>
      <c r="H46" s="50">
        <f>700*0.1425</f>
        <v>99.749999999999986</v>
      </c>
      <c r="I46" s="51">
        <f t="shared" si="1"/>
        <v>0</v>
      </c>
      <c r="J46" s="52"/>
      <c r="K46" s="52">
        <v>0</v>
      </c>
      <c r="L46" s="53"/>
      <c r="M46" s="54">
        <f t="shared" si="3"/>
        <v>685.5</v>
      </c>
      <c r="N46" s="55">
        <f t="shared" si="2"/>
        <v>837.75</v>
      </c>
      <c r="O46" s="33" t="s">
        <v>54</v>
      </c>
      <c r="P46" s="60" t="s">
        <v>171</v>
      </c>
      <c r="Q46" s="60" t="s">
        <v>172</v>
      </c>
      <c r="R46" s="61" t="s">
        <v>59</v>
      </c>
      <c r="S46" s="62">
        <v>329111</v>
      </c>
      <c r="T46" s="60" t="s">
        <v>56</v>
      </c>
    </row>
    <row r="47" spans="1:20" x14ac:dyDescent="0.2">
      <c r="A47" s="45">
        <v>43</v>
      </c>
      <c r="B47" s="71" t="s">
        <v>173</v>
      </c>
      <c r="C47" s="46" t="s">
        <v>174</v>
      </c>
      <c r="D47" s="158" t="s">
        <v>175</v>
      </c>
      <c r="E47" s="74">
        <f>2300+139</f>
        <v>2439</v>
      </c>
      <c r="F47" s="52">
        <f t="shared" si="6"/>
        <v>2439</v>
      </c>
      <c r="G47" s="50">
        <f>2300*0.075</f>
        <v>172.5</v>
      </c>
      <c r="H47" s="52">
        <f>2300*0.1425</f>
        <v>327.75</v>
      </c>
      <c r="I47" s="51">
        <f t="shared" si="1"/>
        <v>213.91666666666666</v>
      </c>
      <c r="J47" s="52"/>
      <c r="K47" s="52">
        <v>0</v>
      </c>
      <c r="L47" s="53"/>
      <c r="M47" s="54">
        <f t="shared" si="3"/>
        <v>2052.5833333333335</v>
      </c>
      <c r="N47" s="55">
        <f t="shared" si="2"/>
        <v>2766.75</v>
      </c>
      <c r="O47" s="33" t="s">
        <v>54</v>
      </c>
      <c r="P47" s="60" t="s">
        <v>176</v>
      </c>
      <c r="Q47" s="60" t="s">
        <v>174</v>
      </c>
      <c r="R47" s="61" t="s">
        <v>59</v>
      </c>
      <c r="S47" s="62">
        <v>111111</v>
      </c>
      <c r="T47" s="60" t="s">
        <v>177</v>
      </c>
    </row>
    <row r="48" spans="1:20" x14ac:dyDescent="0.2">
      <c r="A48" s="45">
        <v>44</v>
      </c>
      <c r="B48" s="71" t="s">
        <v>178</v>
      </c>
      <c r="C48" s="46" t="s">
        <v>179</v>
      </c>
      <c r="D48" s="158" t="s">
        <v>180</v>
      </c>
      <c r="E48" s="74">
        <v>480</v>
      </c>
      <c r="F48" s="52">
        <v>480</v>
      </c>
      <c r="G48" s="50">
        <f>480*0.075</f>
        <v>36</v>
      </c>
      <c r="H48" s="50">
        <f>480*0.1425</f>
        <v>68.399999999999991</v>
      </c>
      <c r="I48" s="51">
        <f t="shared" si="1"/>
        <v>0</v>
      </c>
      <c r="J48" s="52"/>
      <c r="K48" s="52">
        <v>0</v>
      </c>
      <c r="L48" s="53"/>
      <c r="M48" s="54">
        <f t="shared" si="3"/>
        <v>444</v>
      </c>
      <c r="N48" s="55">
        <f t="shared" si="2"/>
        <v>548.4</v>
      </c>
      <c r="O48" s="33" t="s">
        <v>54</v>
      </c>
      <c r="P48" s="60" t="s">
        <v>178</v>
      </c>
      <c r="Q48" s="60" t="s">
        <v>179</v>
      </c>
      <c r="R48" s="61" t="s">
        <v>59</v>
      </c>
      <c r="S48" s="62">
        <v>329111</v>
      </c>
      <c r="T48" s="60" t="s">
        <v>56</v>
      </c>
    </row>
    <row r="49" spans="1:22" x14ac:dyDescent="0.2">
      <c r="A49" s="45">
        <v>45</v>
      </c>
      <c r="B49" s="71" t="s">
        <v>184</v>
      </c>
      <c r="C49" s="46" t="s">
        <v>185</v>
      </c>
      <c r="D49" s="158" t="s">
        <v>186</v>
      </c>
      <c r="E49" s="74">
        <f>816+41</f>
        <v>857</v>
      </c>
      <c r="F49" s="52">
        <f>E49</f>
        <v>857</v>
      </c>
      <c r="G49" s="50">
        <f>816*0.075</f>
        <v>61.199999999999996</v>
      </c>
      <c r="H49" s="50">
        <f>816*0.1425</f>
        <v>116.27999999999999</v>
      </c>
      <c r="I49" s="51">
        <f t="shared" si="1"/>
        <v>5.3500000000000005</v>
      </c>
      <c r="J49" s="52"/>
      <c r="K49" s="52">
        <v>0</v>
      </c>
      <c r="L49" s="53"/>
      <c r="M49" s="54">
        <f t="shared" si="3"/>
        <v>790.45</v>
      </c>
      <c r="N49" s="55">
        <f t="shared" si="2"/>
        <v>973.28</v>
      </c>
      <c r="O49" s="33" t="s">
        <v>54</v>
      </c>
      <c r="P49" s="60" t="s">
        <v>184</v>
      </c>
      <c r="Q49" s="60" t="s">
        <v>185</v>
      </c>
      <c r="R49" s="61" t="s">
        <v>59</v>
      </c>
      <c r="S49" s="62">
        <v>329111</v>
      </c>
      <c r="T49" s="60" t="s">
        <v>56</v>
      </c>
    </row>
    <row r="50" spans="1:22" x14ac:dyDescent="0.2">
      <c r="A50" s="45">
        <v>46</v>
      </c>
      <c r="B50" s="71" t="s">
        <v>187</v>
      </c>
      <c r="C50" s="46" t="s">
        <v>188</v>
      </c>
      <c r="D50" s="158" t="s">
        <v>189</v>
      </c>
      <c r="E50" s="74">
        <f>600+48</f>
        <v>648</v>
      </c>
      <c r="F50" s="52">
        <f>E50</f>
        <v>648</v>
      </c>
      <c r="G50" s="162">
        <f>600*0.075</f>
        <v>45</v>
      </c>
      <c r="H50" s="162">
        <f>600*0.1425</f>
        <v>85.499999999999986</v>
      </c>
      <c r="I50" s="51">
        <f t="shared" si="1"/>
        <v>0</v>
      </c>
      <c r="J50" s="52"/>
      <c r="K50" s="52">
        <v>0</v>
      </c>
      <c r="L50" s="53"/>
      <c r="M50" s="54">
        <f t="shared" si="3"/>
        <v>603</v>
      </c>
      <c r="N50" s="55">
        <f t="shared" si="2"/>
        <v>733.5</v>
      </c>
      <c r="O50" s="33" t="s">
        <v>54</v>
      </c>
      <c r="P50" s="60" t="s">
        <v>187</v>
      </c>
      <c r="Q50" s="60" t="s">
        <v>188</v>
      </c>
      <c r="R50" s="61" t="s">
        <v>59</v>
      </c>
      <c r="S50" s="62">
        <v>131111</v>
      </c>
      <c r="T50" s="60" t="s">
        <v>164</v>
      </c>
    </row>
    <row r="51" spans="1:22" x14ac:dyDescent="0.2">
      <c r="A51" s="45">
        <v>47</v>
      </c>
      <c r="B51" s="71" t="s">
        <v>190</v>
      </c>
      <c r="C51" s="46" t="s">
        <v>191</v>
      </c>
      <c r="D51" s="158" t="s">
        <v>186</v>
      </c>
      <c r="E51" s="74">
        <f>900+45</f>
        <v>945</v>
      </c>
      <c r="F51" s="52">
        <f>E51</f>
        <v>945</v>
      </c>
      <c r="G51" s="50">
        <f>900*0.075</f>
        <v>67.5</v>
      </c>
      <c r="H51" s="50">
        <f>900*0.1425</f>
        <v>128.25</v>
      </c>
      <c r="I51" s="51">
        <f t="shared" si="1"/>
        <v>9.75</v>
      </c>
      <c r="J51" s="52"/>
      <c r="K51" s="52">
        <v>0</v>
      </c>
      <c r="L51" s="53"/>
      <c r="M51" s="54">
        <f t="shared" si="3"/>
        <v>867.75</v>
      </c>
      <c r="N51" s="55">
        <f t="shared" si="2"/>
        <v>1073.25</v>
      </c>
      <c r="O51" s="33" t="s">
        <v>54</v>
      </c>
      <c r="P51" s="60" t="s">
        <v>190</v>
      </c>
      <c r="Q51" s="60" t="s">
        <v>191</v>
      </c>
      <c r="R51" s="61" t="s">
        <v>59</v>
      </c>
      <c r="S51" s="62">
        <v>329111</v>
      </c>
      <c r="T51" s="60" t="s">
        <v>56</v>
      </c>
    </row>
    <row r="52" spans="1:22" x14ac:dyDescent="0.2">
      <c r="A52" s="45">
        <v>48</v>
      </c>
      <c r="B52" s="71" t="s">
        <v>195</v>
      </c>
      <c r="C52" s="46" t="s">
        <v>196</v>
      </c>
      <c r="D52" s="158" t="s">
        <v>186</v>
      </c>
      <c r="E52" s="74">
        <v>945</v>
      </c>
      <c r="F52" s="52">
        <v>945</v>
      </c>
      <c r="G52" s="50">
        <f>945*0.075</f>
        <v>70.875</v>
      </c>
      <c r="H52" s="50">
        <f>945*0.1425</f>
        <v>134.66249999999999</v>
      </c>
      <c r="I52" s="51">
        <f t="shared" si="1"/>
        <v>9.75</v>
      </c>
      <c r="J52" s="52"/>
      <c r="K52" s="52">
        <v>0</v>
      </c>
      <c r="L52" s="53"/>
      <c r="M52" s="54">
        <f t="shared" si="3"/>
        <v>864.375</v>
      </c>
      <c r="N52" s="55">
        <f t="shared" si="2"/>
        <v>1079.6624999999999</v>
      </c>
      <c r="O52" s="33" t="s">
        <v>54</v>
      </c>
      <c r="P52" s="60" t="s">
        <v>195</v>
      </c>
      <c r="Q52" s="60" t="s">
        <v>196</v>
      </c>
      <c r="R52" s="61" t="s">
        <v>59</v>
      </c>
      <c r="S52" s="62">
        <v>329111</v>
      </c>
      <c r="T52" s="60" t="s">
        <v>56</v>
      </c>
    </row>
    <row r="53" spans="1:22" x14ac:dyDescent="0.2">
      <c r="A53" s="45">
        <v>49</v>
      </c>
      <c r="B53" s="71" t="s">
        <v>197</v>
      </c>
      <c r="C53" s="46" t="s">
        <v>198</v>
      </c>
      <c r="D53" s="158" t="s">
        <v>199</v>
      </c>
      <c r="E53" s="74">
        <v>1420</v>
      </c>
      <c r="F53" s="52">
        <v>1420</v>
      </c>
      <c r="G53" s="50">
        <f>1420*0.075</f>
        <v>106.5</v>
      </c>
      <c r="H53" s="50">
        <f>1420*0.1425</f>
        <v>202.35</v>
      </c>
      <c r="I53" s="51">
        <f t="shared" si="1"/>
        <v>46.166666666666664</v>
      </c>
      <c r="J53" s="52"/>
      <c r="K53" s="52">
        <v>0</v>
      </c>
      <c r="L53" s="53"/>
      <c r="M53" s="54">
        <f t="shared" si="3"/>
        <v>1267.3333333333333</v>
      </c>
      <c r="N53" s="55">
        <f t="shared" si="2"/>
        <v>1622.35</v>
      </c>
      <c r="O53" s="33" t="s">
        <v>54</v>
      </c>
      <c r="P53" s="60" t="s">
        <v>197</v>
      </c>
      <c r="Q53" s="60" t="s">
        <v>198</v>
      </c>
      <c r="R53" s="61" t="s">
        <v>55</v>
      </c>
      <c r="S53" s="62">
        <v>323111</v>
      </c>
      <c r="T53" s="60" t="s">
        <v>56</v>
      </c>
    </row>
    <row r="54" spans="1:22" x14ac:dyDescent="0.2">
      <c r="A54" s="45">
        <v>50</v>
      </c>
      <c r="B54" s="71" t="s">
        <v>200</v>
      </c>
      <c r="C54" s="46" t="s">
        <v>201</v>
      </c>
      <c r="D54" s="158" t="s">
        <v>133</v>
      </c>
      <c r="E54" s="74">
        <v>1846</v>
      </c>
      <c r="F54" s="74">
        <v>1846</v>
      </c>
      <c r="G54" s="50">
        <f>1846*0.075</f>
        <v>138.44999999999999</v>
      </c>
      <c r="H54" s="50">
        <f>1846*0.1425</f>
        <v>263.05499999999995</v>
      </c>
      <c r="I54" s="51">
        <f t="shared" si="1"/>
        <v>17.3</v>
      </c>
      <c r="J54" s="52"/>
      <c r="K54" s="52">
        <v>0</v>
      </c>
      <c r="L54" s="53"/>
      <c r="M54" s="54">
        <f t="shared" si="3"/>
        <v>1690.25</v>
      </c>
      <c r="N54" s="55">
        <f t="shared" si="2"/>
        <v>2109.0549999999998</v>
      </c>
      <c r="O54" s="33" t="s">
        <v>69</v>
      </c>
      <c r="P54" s="60" t="s">
        <v>200</v>
      </c>
      <c r="Q54" s="60" t="s">
        <v>201</v>
      </c>
      <c r="R54" s="61" t="s">
        <v>59</v>
      </c>
      <c r="S54" s="62">
        <v>323111</v>
      </c>
      <c r="T54" s="60" t="s">
        <v>56</v>
      </c>
    </row>
    <row r="55" spans="1:22" x14ac:dyDescent="0.2">
      <c r="A55" s="45">
        <v>51</v>
      </c>
      <c r="B55" s="71" t="s">
        <v>202</v>
      </c>
      <c r="C55" s="46" t="s">
        <v>203</v>
      </c>
      <c r="D55" s="158" t="s">
        <v>505</v>
      </c>
      <c r="E55" s="163">
        <v>533</v>
      </c>
      <c r="F55" s="164">
        <v>533</v>
      </c>
      <c r="G55" s="50">
        <f>320*0.075</f>
        <v>24</v>
      </c>
      <c r="H55" s="50">
        <f>320*0.1425</f>
        <v>45.599999999999994</v>
      </c>
      <c r="I55" s="51">
        <f t="shared" si="1"/>
        <v>0</v>
      </c>
      <c r="J55" s="52"/>
      <c r="K55" s="52">
        <v>0</v>
      </c>
      <c r="L55" s="53"/>
      <c r="M55" s="54">
        <f t="shared" si="3"/>
        <v>509</v>
      </c>
      <c r="N55" s="55">
        <f t="shared" si="2"/>
        <v>578.6</v>
      </c>
      <c r="O55" s="33" t="s">
        <v>54</v>
      </c>
      <c r="P55" s="60" t="s">
        <v>202</v>
      </c>
      <c r="Q55" s="60" t="s">
        <v>203</v>
      </c>
      <c r="R55" s="61" t="s">
        <v>59</v>
      </c>
      <c r="S55" s="77">
        <v>326111</v>
      </c>
      <c r="T55" s="60" t="s">
        <v>56</v>
      </c>
    </row>
    <row r="56" spans="1:22" x14ac:dyDescent="0.2">
      <c r="A56" s="45">
        <v>52</v>
      </c>
      <c r="B56" s="71" t="s">
        <v>205</v>
      </c>
      <c r="C56" s="46" t="s">
        <v>206</v>
      </c>
      <c r="D56" s="158" t="s">
        <v>207</v>
      </c>
      <c r="E56" s="79">
        <v>1562</v>
      </c>
      <c r="F56" s="52">
        <v>1562</v>
      </c>
      <c r="G56" s="50">
        <f>1562*0.075</f>
        <v>117.14999999999999</v>
      </c>
      <c r="H56" s="50">
        <f>1562*0.1425</f>
        <v>222.58499999999998</v>
      </c>
      <c r="I56" s="51">
        <f t="shared" si="1"/>
        <v>60.366666666666674</v>
      </c>
      <c r="J56" s="52"/>
      <c r="K56" s="52">
        <v>0</v>
      </c>
      <c r="L56" s="53"/>
      <c r="M56" s="54">
        <f t="shared" si="3"/>
        <v>1384.4833333333333</v>
      </c>
      <c r="N56" s="55">
        <f t="shared" si="2"/>
        <v>1784.585</v>
      </c>
      <c r="O56" s="33" t="s">
        <v>54</v>
      </c>
      <c r="P56" s="60" t="s">
        <v>205</v>
      </c>
      <c r="Q56" s="60" t="s">
        <v>206</v>
      </c>
      <c r="R56" s="61" t="s">
        <v>59</v>
      </c>
      <c r="S56" s="77">
        <v>329111</v>
      </c>
      <c r="T56" s="60" t="s">
        <v>56</v>
      </c>
      <c r="U56">
        <v>1948.9433333333334</v>
      </c>
      <c r="V56">
        <f>U56-M56</f>
        <v>564.46</v>
      </c>
    </row>
    <row r="57" spans="1:22" x14ac:dyDescent="0.2">
      <c r="A57" s="45">
        <v>53</v>
      </c>
      <c r="B57" s="71" t="s">
        <v>208</v>
      </c>
      <c r="C57" s="46" t="s">
        <v>209</v>
      </c>
      <c r="D57" s="158" t="s">
        <v>210</v>
      </c>
      <c r="E57" s="74">
        <v>2980</v>
      </c>
      <c r="F57" s="52">
        <v>2980</v>
      </c>
      <c r="G57" s="50">
        <f>2980*0.075</f>
        <v>223.5</v>
      </c>
      <c r="H57" s="50">
        <f>2980*0.1425</f>
        <v>424.65</v>
      </c>
      <c r="I57" s="51">
        <f t="shared" si="1"/>
        <v>171</v>
      </c>
      <c r="J57" s="52"/>
      <c r="K57" s="52">
        <v>0</v>
      </c>
      <c r="L57" s="53"/>
      <c r="M57" s="54">
        <f t="shared" si="3"/>
        <v>2585.5</v>
      </c>
      <c r="N57" s="55">
        <f t="shared" si="2"/>
        <v>3404.65</v>
      </c>
      <c r="O57" s="33" t="s">
        <v>69</v>
      </c>
      <c r="P57" s="60" t="s">
        <v>208</v>
      </c>
      <c r="Q57" s="60" t="s">
        <v>209</v>
      </c>
      <c r="R57" s="61" t="s">
        <v>59</v>
      </c>
      <c r="S57" s="77">
        <v>329111</v>
      </c>
      <c r="T57" s="60" t="s">
        <v>56</v>
      </c>
    </row>
    <row r="58" spans="1:22" x14ac:dyDescent="0.2">
      <c r="A58" s="45">
        <v>54</v>
      </c>
      <c r="B58" s="71" t="s">
        <v>211</v>
      </c>
      <c r="C58" s="46" t="s">
        <v>212</v>
      </c>
      <c r="D58" s="158" t="s">
        <v>213</v>
      </c>
      <c r="E58" s="74">
        <v>1350</v>
      </c>
      <c r="F58" s="52">
        <v>1350</v>
      </c>
      <c r="G58" s="50">
        <f t="shared" ref="G58:G90" si="7">E58*0.075</f>
        <v>101.25</v>
      </c>
      <c r="H58" s="50">
        <f t="shared" ref="H58:H90" si="8">E58*0.1425</f>
        <v>192.37499999999997</v>
      </c>
      <c r="I58" s="51">
        <f t="shared" si="1"/>
        <v>39.166666666666664</v>
      </c>
      <c r="J58" s="52"/>
      <c r="K58" s="52">
        <v>0</v>
      </c>
      <c r="L58" s="53"/>
      <c r="M58" s="54">
        <f t="shared" si="3"/>
        <v>1209.5833333333333</v>
      </c>
      <c r="N58" s="55">
        <f t="shared" si="2"/>
        <v>1542.375</v>
      </c>
      <c r="O58" s="33" t="s">
        <v>54</v>
      </c>
      <c r="P58" s="60" t="s">
        <v>211</v>
      </c>
      <c r="Q58" s="60" t="s">
        <v>212</v>
      </c>
      <c r="R58" s="61" t="s">
        <v>59</v>
      </c>
      <c r="S58" s="77">
        <v>329111</v>
      </c>
      <c r="T58" s="60" t="s">
        <v>56</v>
      </c>
    </row>
    <row r="59" spans="1:22" x14ac:dyDescent="0.2">
      <c r="A59" s="45">
        <v>55</v>
      </c>
      <c r="B59" s="71" t="s">
        <v>214</v>
      </c>
      <c r="C59" s="46" t="s">
        <v>215</v>
      </c>
      <c r="D59" s="158" t="s">
        <v>216</v>
      </c>
      <c r="E59" s="74">
        <v>1846</v>
      </c>
      <c r="F59" s="52">
        <v>1846</v>
      </c>
      <c r="G59" s="50">
        <f t="shared" si="7"/>
        <v>138.44999999999999</v>
      </c>
      <c r="H59" s="50">
        <f t="shared" si="8"/>
        <v>263.05499999999995</v>
      </c>
      <c r="I59" s="51">
        <f t="shared" si="1"/>
        <v>101.89999999999999</v>
      </c>
      <c r="J59" s="52"/>
      <c r="K59" s="52">
        <v>0</v>
      </c>
      <c r="L59" s="53"/>
      <c r="M59" s="54">
        <f t="shared" si="3"/>
        <v>1605.65</v>
      </c>
      <c r="N59" s="55">
        <f t="shared" si="2"/>
        <v>2109.0549999999998</v>
      </c>
      <c r="O59" s="33" t="s">
        <v>54</v>
      </c>
      <c r="P59" s="60" t="s">
        <v>214</v>
      </c>
      <c r="Q59" s="60" t="s">
        <v>215</v>
      </c>
      <c r="R59" s="61" t="s">
        <v>55</v>
      </c>
      <c r="S59" s="77">
        <v>325311</v>
      </c>
      <c r="T59" s="60" t="s">
        <v>56</v>
      </c>
    </row>
    <row r="60" spans="1:22" x14ac:dyDescent="0.2">
      <c r="A60" s="45">
        <v>56</v>
      </c>
      <c r="B60" s="71" t="s">
        <v>220</v>
      </c>
      <c r="C60" s="46" t="s">
        <v>221</v>
      </c>
      <c r="D60" s="158" t="s">
        <v>222</v>
      </c>
      <c r="E60" s="74">
        <v>2485</v>
      </c>
      <c r="F60" s="52">
        <v>2485</v>
      </c>
      <c r="G60" s="50">
        <f t="shared" si="7"/>
        <v>186.375</v>
      </c>
      <c r="H60" s="50">
        <f t="shared" si="8"/>
        <v>354.11249999999995</v>
      </c>
      <c r="I60" s="51">
        <f t="shared" si="1"/>
        <v>225.41666666666666</v>
      </c>
      <c r="J60" s="52"/>
      <c r="K60" s="52">
        <v>0</v>
      </c>
      <c r="L60" s="53"/>
      <c r="M60" s="54">
        <f t="shared" si="3"/>
        <v>2073.2083333333335</v>
      </c>
      <c r="N60" s="55">
        <f t="shared" si="2"/>
        <v>2839.1125000000002</v>
      </c>
      <c r="O60" s="33" t="s">
        <v>54</v>
      </c>
      <c r="P60" s="60" t="s">
        <v>220</v>
      </c>
      <c r="Q60" s="60" t="s">
        <v>221</v>
      </c>
      <c r="R60" s="61" t="s">
        <v>223</v>
      </c>
      <c r="S60" s="77">
        <v>323111</v>
      </c>
      <c r="T60" s="60" t="s">
        <v>56</v>
      </c>
    </row>
    <row r="61" spans="1:22" x14ac:dyDescent="0.2">
      <c r="A61" s="45">
        <v>57</v>
      </c>
      <c r="B61" s="71" t="s">
        <v>224</v>
      </c>
      <c r="C61" s="46" t="s">
        <v>225</v>
      </c>
      <c r="D61" s="158" t="s">
        <v>226</v>
      </c>
      <c r="E61" s="74">
        <v>530</v>
      </c>
      <c r="F61" s="52">
        <v>530</v>
      </c>
      <c r="G61" s="50">
        <f t="shared" si="7"/>
        <v>39.75</v>
      </c>
      <c r="H61" s="50">
        <f t="shared" si="8"/>
        <v>75.524999999999991</v>
      </c>
      <c r="I61" s="51">
        <f t="shared" si="1"/>
        <v>0</v>
      </c>
      <c r="J61" s="52"/>
      <c r="K61" s="52">
        <v>0</v>
      </c>
      <c r="L61" s="53"/>
      <c r="M61" s="54">
        <f t="shared" si="3"/>
        <v>490.25</v>
      </c>
      <c r="N61" s="55">
        <f t="shared" si="2"/>
        <v>605.52499999999998</v>
      </c>
      <c r="O61" s="33" t="s">
        <v>54</v>
      </c>
      <c r="P61" s="60" t="s">
        <v>224</v>
      </c>
      <c r="Q61" s="60" t="s">
        <v>225</v>
      </c>
      <c r="R61" s="61" t="s">
        <v>55</v>
      </c>
      <c r="S61" s="77">
        <v>323111</v>
      </c>
      <c r="T61" s="60" t="s">
        <v>56</v>
      </c>
    </row>
    <row r="62" spans="1:22" x14ac:dyDescent="0.2">
      <c r="A62" s="45">
        <v>58</v>
      </c>
      <c r="B62" s="71" t="s">
        <v>227</v>
      </c>
      <c r="C62" s="46" t="s">
        <v>228</v>
      </c>
      <c r="D62" s="158" t="s">
        <v>229</v>
      </c>
      <c r="E62" s="74">
        <v>2600</v>
      </c>
      <c r="F62" s="52">
        <v>2600</v>
      </c>
      <c r="G62" s="50">
        <f t="shared" si="7"/>
        <v>195</v>
      </c>
      <c r="H62" s="50">
        <f t="shared" si="8"/>
        <v>370.49999999999994</v>
      </c>
      <c r="I62" s="51">
        <f t="shared" si="1"/>
        <v>254.16666666666666</v>
      </c>
      <c r="J62" s="52"/>
      <c r="K62" s="52">
        <v>0</v>
      </c>
      <c r="L62" s="53"/>
      <c r="M62" s="54">
        <f t="shared" si="3"/>
        <v>2150.8333333333335</v>
      </c>
      <c r="N62" s="55">
        <f t="shared" si="2"/>
        <v>2970.5</v>
      </c>
      <c r="O62" s="33" t="s">
        <v>54</v>
      </c>
      <c r="P62" s="60" t="s">
        <v>227</v>
      </c>
      <c r="Q62" s="60" t="s">
        <v>228</v>
      </c>
      <c r="R62" s="61" t="s">
        <v>55</v>
      </c>
      <c r="S62" s="77">
        <v>325311</v>
      </c>
      <c r="T62" s="60" t="s">
        <v>56</v>
      </c>
    </row>
    <row r="63" spans="1:22" x14ac:dyDescent="0.2">
      <c r="A63" s="45">
        <v>59</v>
      </c>
      <c r="B63" s="71" t="s">
        <v>230</v>
      </c>
      <c r="C63" s="46" t="s">
        <v>231</v>
      </c>
      <c r="D63" s="158" t="s">
        <v>232</v>
      </c>
      <c r="E63" s="74">
        <v>1100</v>
      </c>
      <c r="F63" s="52">
        <v>1100</v>
      </c>
      <c r="G63" s="50">
        <f t="shared" si="7"/>
        <v>82.5</v>
      </c>
      <c r="H63" s="50">
        <f t="shared" si="8"/>
        <v>156.75</v>
      </c>
      <c r="I63" s="51">
        <f t="shared" si="1"/>
        <v>17.5</v>
      </c>
      <c r="J63" s="52"/>
      <c r="K63" s="52">
        <v>0</v>
      </c>
      <c r="L63" s="53"/>
      <c r="M63" s="54">
        <f t="shared" si="3"/>
        <v>1000</v>
      </c>
      <c r="N63" s="55">
        <f t="shared" si="2"/>
        <v>1256.75</v>
      </c>
      <c r="O63" s="33" t="s">
        <v>54</v>
      </c>
      <c r="P63" s="60" t="s">
        <v>230</v>
      </c>
      <c r="Q63" s="60" t="s">
        <v>231</v>
      </c>
      <c r="R63" s="61"/>
      <c r="S63" s="77">
        <v>325311</v>
      </c>
      <c r="T63" s="60" t="s">
        <v>56</v>
      </c>
    </row>
    <row r="64" spans="1:22" x14ac:dyDescent="0.2">
      <c r="A64" s="45">
        <v>60</v>
      </c>
      <c r="B64" s="71" t="s">
        <v>233</v>
      </c>
      <c r="C64" s="46" t="s">
        <v>234</v>
      </c>
      <c r="D64" s="158" t="s">
        <v>204</v>
      </c>
      <c r="E64" s="80">
        <v>395</v>
      </c>
      <c r="F64" s="81">
        <v>395</v>
      </c>
      <c r="G64" s="50">
        <f t="shared" si="7"/>
        <v>29.625</v>
      </c>
      <c r="H64" s="50">
        <f t="shared" si="8"/>
        <v>56.287499999999994</v>
      </c>
      <c r="I64" s="51">
        <f t="shared" si="1"/>
        <v>0</v>
      </c>
      <c r="J64" s="52"/>
      <c r="K64" s="52">
        <v>0</v>
      </c>
      <c r="L64" s="53"/>
      <c r="M64" s="54">
        <f t="shared" si="3"/>
        <v>365.375</v>
      </c>
      <c r="N64" s="55">
        <f t="shared" si="2"/>
        <v>451.28750000000002</v>
      </c>
      <c r="O64" s="33" t="s">
        <v>54</v>
      </c>
      <c r="P64" s="60" t="s">
        <v>233</v>
      </c>
      <c r="Q64" s="60" t="s">
        <v>234</v>
      </c>
      <c r="R64" s="61"/>
      <c r="S64" s="77">
        <v>329111</v>
      </c>
      <c r="T64" s="60" t="s">
        <v>56</v>
      </c>
    </row>
    <row r="65" spans="1:20" x14ac:dyDescent="0.2">
      <c r="A65" s="45">
        <v>61</v>
      </c>
      <c r="B65" s="71" t="s">
        <v>235</v>
      </c>
      <c r="C65" s="46" t="s">
        <v>236</v>
      </c>
      <c r="D65" s="158" t="s">
        <v>204</v>
      </c>
      <c r="E65" s="80">
        <v>395</v>
      </c>
      <c r="F65" s="81">
        <v>395</v>
      </c>
      <c r="G65" s="50">
        <f t="shared" si="7"/>
        <v>29.625</v>
      </c>
      <c r="H65" s="50">
        <f t="shared" si="8"/>
        <v>56.287499999999994</v>
      </c>
      <c r="I65" s="51">
        <f t="shared" si="1"/>
        <v>0</v>
      </c>
      <c r="J65" s="52"/>
      <c r="K65" s="52">
        <v>0</v>
      </c>
      <c r="L65" s="53"/>
      <c r="M65" s="54">
        <f t="shared" si="3"/>
        <v>365.375</v>
      </c>
      <c r="N65" s="55">
        <f t="shared" si="2"/>
        <v>451.28750000000002</v>
      </c>
      <c r="O65" s="33" t="s">
        <v>54</v>
      </c>
      <c r="P65" s="60" t="s">
        <v>235</v>
      </c>
      <c r="Q65" s="60" t="s">
        <v>236</v>
      </c>
      <c r="R65" s="61"/>
      <c r="S65" s="77">
        <v>329111</v>
      </c>
      <c r="T65" s="60" t="s">
        <v>56</v>
      </c>
    </row>
    <row r="66" spans="1:20" x14ac:dyDescent="0.2">
      <c r="A66" s="45">
        <v>62</v>
      </c>
      <c r="B66" s="71" t="s">
        <v>237</v>
      </c>
      <c r="C66" s="46" t="s">
        <v>238</v>
      </c>
      <c r="D66" s="158" t="s">
        <v>239</v>
      </c>
      <c r="E66" s="74">
        <v>3000</v>
      </c>
      <c r="F66" s="52">
        <v>3000</v>
      </c>
      <c r="G66" s="50">
        <f t="shared" si="7"/>
        <v>225</v>
      </c>
      <c r="H66" s="50">
        <f t="shared" si="8"/>
        <v>427.49999999999994</v>
      </c>
      <c r="I66" s="51">
        <f t="shared" si="1"/>
        <v>175</v>
      </c>
      <c r="J66" s="52"/>
      <c r="K66" s="52">
        <v>0</v>
      </c>
      <c r="L66" s="53"/>
      <c r="M66" s="54">
        <f t="shared" si="3"/>
        <v>2600</v>
      </c>
      <c r="N66" s="55">
        <f t="shared" si="2"/>
        <v>3427.5</v>
      </c>
      <c r="O66" s="33" t="s">
        <v>69</v>
      </c>
      <c r="P66" s="60" t="s">
        <v>237</v>
      </c>
      <c r="Q66" s="60" t="s">
        <v>238</v>
      </c>
      <c r="R66" s="61"/>
      <c r="S66" s="77">
        <v>323111</v>
      </c>
      <c r="T66" s="60" t="s">
        <v>240</v>
      </c>
    </row>
    <row r="67" spans="1:20" x14ac:dyDescent="0.2">
      <c r="A67" s="45">
        <v>63</v>
      </c>
      <c r="B67" s="71" t="s">
        <v>241</v>
      </c>
      <c r="C67" s="46" t="s">
        <v>242</v>
      </c>
      <c r="D67" s="158" t="s">
        <v>243</v>
      </c>
      <c r="E67" s="74">
        <v>1136</v>
      </c>
      <c r="F67" s="52">
        <v>1136</v>
      </c>
      <c r="G67" s="50">
        <f t="shared" si="7"/>
        <v>85.2</v>
      </c>
      <c r="H67" s="50">
        <f t="shared" si="8"/>
        <v>161.88</v>
      </c>
      <c r="I67" s="51">
        <f t="shared" si="1"/>
        <v>19.3</v>
      </c>
      <c r="J67" s="52"/>
      <c r="K67" s="52">
        <v>0</v>
      </c>
      <c r="L67" s="53"/>
      <c r="M67" s="54">
        <f t="shared" si="3"/>
        <v>1031.5</v>
      </c>
      <c r="N67" s="55">
        <f t="shared" si="2"/>
        <v>1297.8800000000001</v>
      </c>
      <c r="O67" s="33" t="s">
        <v>54</v>
      </c>
      <c r="P67" s="60" t="s">
        <v>241</v>
      </c>
      <c r="Q67" s="60" t="s">
        <v>242</v>
      </c>
      <c r="R67" s="61"/>
      <c r="S67" s="77">
        <v>327111</v>
      </c>
      <c r="T67" s="60" t="s">
        <v>56</v>
      </c>
    </row>
    <row r="68" spans="1:20" x14ac:dyDescent="0.2">
      <c r="A68" s="45">
        <v>64</v>
      </c>
      <c r="B68" s="71" t="s">
        <v>246</v>
      </c>
      <c r="C68" s="46" t="s">
        <v>247</v>
      </c>
      <c r="D68" s="158" t="s">
        <v>216</v>
      </c>
      <c r="E68" s="74">
        <v>1915</v>
      </c>
      <c r="F68" s="52">
        <v>1915</v>
      </c>
      <c r="G68" s="50">
        <f t="shared" si="7"/>
        <v>143.625</v>
      </c>
      <c r="H68" s="50">
        <f t="shared" si="8"/>
        <v>272.88749999999999</v>
      </c>
      <c r="I68" s="51">
        <f t="shared" si="1"/>
        <v>20.75</v>
      </c>
      <c r="J68" s="52"/>
      <c r="K68" s="52">
        <v>0</v>
      </c>
      <c r="L68" s="53"/>
      <c r="M68" s="54">
        <f t="shared" si="3"/>
        <v>1750.625</v>
      </c>
      <c r="N68" s="55">
        <f t="shared" si="2"/>
        <v>2187.8874999999998</v>
      </c>
      <c r="O68" s="33" t="s">
        <v>69</v>
      </c>
      <c r="P68" s="60" t="s">
        <v>246</v>
      </c>
      <c r="Q68" s="60" t="s">
        <v>247</v>
      </c>
      <c r="R68" s="61"/>
      <c r="S68" s="77">
        <v>325311</v>
      </c>
      <c r="T68" s="60" t="s">
        <v>56</v>
      </c>
    </row>
    <row r="69" spans="1:20" x14ac:dyDescent="0.2">
      <c r="A69" s="45">
        <v>65</v>
      </c>
      <c r="B69" s="84" t="s">
        <v>248</v>
      </c>
      <c r="C69" s="46" t="s">
        <v>249</v>
      </c>
      <c r="D69" s="158" t="s">
        <v>250</v>
      </c>
      <c r="E69" s="74">
        <v>1207</v>
      </c>
      <c r="F69" s="52">
        <v>1207</v>
      </c>
      <c r="G69" s="50">
        <f t="shared" si="7"/>
        <v>90.524999999999991</v>
      </c>
      <c r="H69" s="50">
        <f t="shared" si="8"/>
        <v>171.99749999999997</v>
      </c>
      <c r="I69" s="51">
        <f t="shared" ref="I69:I132" si="9">(IF((O69="No"),(IF((($F69*12)-9000)&lt;0,0,(IF((($F69*12)-9000)&gt;20000,(5000*5%+5000*10%+5000*15%+5000*20%+((($F69*12)-9000)-20000)*25%),IF((($F69*12)-9000)&gt;15000,(5000*5%+5000*10%+5000*15%+((($F69*12)-9000)-15000)*20%),IF((($F69*12)-9000)&gt;10000,(5000*5%+5000*10%+((($F69*12)-9000)-10000)*15%),IF((($F69*12)-9000)&gt;5000,(5000*5%+((($F69*12)-9000)-5000)*10%),IF((($F69*12)-9000)&lt;5000,(($F69*12)-9000)*5%)))))))),((IF((($F69*12)-18000)&lt;0,0,(IF((($F69*12)-18000)&gt;20000,(5000*5%+5000*10%+5000*15%+5000*20%+((($F69*12)-18000)-20000)*25%),IF((($F69*12)-18000)&gt;15000,(5000*5%+5000*10%+5000*15%+((($F69*12)-18000)-15000)*20%),IF((($F69*12)-18000)&gt;10000,(5000*5%+5000*10%+((($F69*12)-18000)-10000)*15%),IF((($F69*12)-18000)&gt;5000,(5000*5%+((($F69*12)-18000)-5000)*10%),IF((($F69*12)-18000)&lt;5000,(($F69*12)-18000)*5%))))))))))/12)</f>
        <v>24.866666666666664</v>
      </c>
      <c r="J69" s="52"/>
      <c r="K69" s="52">
        <v>0</v>
      </c>
      <c r="L69" s="53"/>
      <c r="M69" s="54">
        <f t="shared" si="3"/>
        <v>1091.6083333333333</v>
      </c>
      <c r="N69" s="55">
        <f t="shared" ref="N69:N110" si="10">F69+H69</f>
        <v>1378.9974999999999</v>
      </c>
      <c r="O69" s="33" t="s">
        <v>54</v>
      </c>
      <c r="P69" s="60" t="s">
        <v>248</v>
      </c>
      <c r="Q69" s="60" t="s">
        <v>249</v>
      </c>
      <c r="R69" s="85"/>
      <c r="S69" s="58">
        <v>325411</v>
      </c>
      <c r="T69" s="56" t="s">
        <v>56</v>
      </c>
    </row>
    <row r="70" spans="1:20" x14ac:dyDescent="0.2">
      <c r="A70" s="45">
        <v>66</v>
      </c>
      <c r="B70" s="84" t="s">
        <v>251</v>
      </c>
      <c r="C70" s="46" t="s">
        <v>252</v>
      </c>
      <c r="D70" s="158" t="s">
        <v>253</v>
      </c>
      <c r="E70" s="74">
        <v>1560</v>
      </c>
      <c r="F70" s="52">
        <v>1560</v>
      </c>
      <c r="G70" s="50">
        <f t="shared" si="7"/>
        <v>117</v>
      </c>
      <c r="H70" s="50">
        <f t="shared" si="8"/>
        <v>222.29999999999998</v>
      </c>
      <c r="I70" s="51">
        <f t="shared" si="9"/>
        <v>60.166666666666664</v>
      </c>
      <c r="J70" s="52"/>
      <c r="K70" s="52">
        <v>0</v>
      </c>
      <c r="L70" s="53"/>
      <c r="M70" s="54">
        <f t="shared" ref="M70:M133" si="11">(F70+K70)-SUM(G70,I70,J70,L70)</f>
        <v>1382.8333333333333</v>
      </c>
      <c r="N70" s="55">
        <f t="shared" si="10"/>
        <v>1782.3</v>
      </c>
      <c r="O70" s="33" t="s">
        <v>54</v>
      </c>
      <c r="P70" s="60" t="s">
        <v>251</v>
      </c>
      <c r="Q70" s="60" t="s">
        <v>252</v>
      </c>
      <c r="R70" s="85"/>
      <c r="S70" s="62">
        <v>318223</v>
      </c>
      <c r="T70" s="60" t="s">
        <v>254</v>
      </c>
    </row>
    <row r="71" spans="1:20" x14ac:dyDescent="0.2">
      <c r="A71" s="45">
        <v>67</v>
      </c>
      <c r="B71" s="84" t="s">
        <v>255</v>
      </c>
      <c r="C71" s="46" t="s">
        <v>461</v>
      </c>
      <c r="D71" s="158" t="s">
        <v>257</v>
      </c>
      <c r="E71" s="74">
        <v>2500</v>
      </c>
      <c r="F71" s="52">
        <v>2500</v>
      </c>
      <c r="G71" s="50">
        <f t="shared" si="7"/>
        <v>187.5</v>
      </c>
      <c r="H71" s="50">
        <f t="shared" si="8"/>
        <v>356.24999999999994</v>
      </c>
      <c r="I71" s="51">
        <f t="shared" si="9"/>
        <v>87.5</v>
      </c>
      <c r="J71" s="52"/>
      <c r="K71" s="52">
        <v>0</v>
      </c>
      <c r="L71" s="53"/>
      <c r="M71" s="54">
        <f t="shared" si="11"/>
        <v>2225</v>
      </c>
      <c r="N71" s="55">
        <f t="shared" si="10"/>
        <v>2856.25</v>
      </c>
      <c r="O71" s="33" t="s">
        <v>69</v>
      </c>
      <c r="P71" s="60" t="s">
        <v>255</v>
      </c>
      <c r="Q71" s="60" t="s">
        <v>256</v>
      </c>
      <c r="R71" s="85"/>
      <c r="S71" s="62">
        <v>323111</v>
      </c>
      <c r="T71" s="60" t="s">
        <v>240</v>
      </c>
    </row>
    <row r="72" spans="1:20" x14ac:dyDescent="0.2">
      <c r="A72" s="45">
        <v>68</v>
      </c>
      <c r="B72" s="84" t="s">
        <v>258</v>
      </c>
      <c r="C72" s="46" t="s">
        <v>259</v>
      </c>
      <c r="D72" s="158" t="s">
        <v>260</v>
      </c>
      <c r="E72" s="74">
        <v>700</v>
      </c>
      <c r="F72" s="52">
        <v>700</v>
      </c>
      <c r="G72" s="50">
        <f t="shared" si="7"/>
        <v>52.5</v>
      </c>
      <c r="H72" s="50">
        <f t="shared" si="8"/>
        <v>99.749999999999986</v>
      </c>
      <c r="I72" s="51">
        <f t="shared" si="9"/>
        <v>0</v>
      </c>
      <c r="J72" s="52"/>
      <c r="K72" s="52">
        <v>0</v>
      </c>
      <c r="L72" s="53"/>
      <c r="M72" s="54">
        <f t="shared" si="11"/>
        <v>647.5</v>
      </c>
      <c r="N72" s="55">
        <f t="shared" si="10"/>
        <v>799.75</v>
      </c>
      <c r="O72" s="33" t="s">
        <v>54</v>
      </c>
      <c r="P72" s="60" t="s">
        <v>258</v>
      </c>
      <c r="Q72" s="60" t="s">
        <v>259</v>
      </c>
      <c r="R72" s="85"/>
      <c r="S72" s="62">
        <v>131111</v>
      </c>
      <c r="T72" s="60" t="s">
        <v>164</v>
      </c>
    </row>
    <row r="73" spans="1:20" x14ac:dyDescent="0.2">
      <c r="A73" s="45">
        <v>69</v>
      </c>
      <c r="B73" s="84" t="s">
        <v>265</v>
      </c>
      <c r="C73" s="46" t="s">
        <v>266</v>
      </c>
      <c r="D73" s="158" t="s">
        <v>263</v>
      </c>
      <c r="E73" s="74">
        <v>1560</v>
      </c>
      <c r="F73" s="52">
        <v>1560</v>
      </c>
      <c r="G73" s="50">
        <f t="shared" si="7"/>
        <v>117</v>
      </c>
      <c r="H73" s="50">
        <f t="shared" si="8"/>
        <v>222.29999999999998</v>
      </c>
      <c r="I73" s="51">
        <f t="shared" si="9"/>
        <v>3</v>
      </c>
      <c r="J73" s="52"/>
      <c r="K73" s="52">
        <v>0</v>
      </c>
      <c r="L73" s="53"/>
      <c r="M73" s="54">
        <f t="shared" si="11"/>
        <v>1440</v>
      </c>
      <c r="N73" s="55">
        <f t="shared" si="10"/>
        <v>1782.3</v>
      </c>
      <c r="O73" s="33" t="s">
        <v>69</v>
      </c>
      <c r="P73" s="60" t="s">
        <v>265</v>
      </c>
      <c r="Q73" s="60" t="s">
        <v>266</v>
      </c>
      <c r="R73" s="85"/>
      <c r="S73" s="62">
        <v>329111</v>
      </c>
      <c r="T73" s="60" t="s">
        <v>264</v>
      </c>
    </row>
    <row r="74" spans="1:20" x14ac:dyDescent="0.2">
      <c r="A74" s="45">
        <v>70</v>
      </c>
      <c r="B74" s="84" t="s">
        <v>267</v>
      </c>
      <c r="C74" s="46" t="s">
        <v>268</v>
      </c>
      <c r="D74" s="158" t="s">
        <v>269</v>
      </c>
      <c r="E74" s="74">
        <v>1420</v>
      </c>
      <c r="F74" s="52">
        <v>1420</v>
      </c>
      <c r="G74" s="50">
        <f t="shared" si="7"/>
        <v>106.5</v>
      </c>
      <c r="H74" s="50">
        <f t="shared" si="8"/>
        <v>202.35</v>
      </c>
      <c r="I74" s="51">
        <f t="shared" si="9"/>
        <v>46.166666666666664</v>
      </c>
      <c r="J74" s="52"/>
      <c r="K74" s="52">
        <v>0</v>
      </c>
      <c r="L74" s="53"/>
      <c r="M74" s="54">
        <f t="shared" si="11"/>
        <v>1267.3333333333333</v>
      </c>
      <c r="N74" s="55">
        <f t="shared" si="10"/>
        <v>1622.35</v>
      </c>
      <c r="O74" s="33" t="s">
        <v>54</v>
      </c>
      <c r="P74" s="60" t="s">
        <v>267</v>
      </c>
      <c r="Q74" s="60" t="s">
        <v>268</v>
      </c>
      <c r="R74" s="85"/>
      <c r="S74" s="62">
        <v>329111</v>
      </c>
      <c r="T74" s="60" t="s">
        <v>264</v>
      </c>
    </row>
    <row r="75" spans="1:20" x14ac:dyDescent="0.2">
      <c r="A75" s="45">
        <v>71</v>
      </c>
      <c r="B75" s="84" t="s">
        <v>270</v>
      </c>
      <c r="C75" s="46" t="s">
        <v>271</v>
      </c>
      <c r="D75" s="158" t="s">
        <v>250</v>
      </c>
      <c r="E75" s="74">
        <v>1207</v>
      </c>
      <c r="F75" s="52">
        <v>1207</v>
      </c>
      <c r="G75" s="50">
        <f t="shared" si="7"/>
        <v>90.524999999999991</v>
      </c>
      <c r="H75" s="50">
        <f t="shared" si="8"/>
        <v>171.99749999999997</v>
      </c>
      <c r="I75" s="51">
        <f t="shared" si="9"/>
        <v>24.866666666666664</v>
      </c>
      <c r="J75" s="52"/>
      <c r="K75" s="52">
        <v>0</v>
      </c>
      <c r="L75" s="53"/>
      <c r="M75" s="54">
        <f t="shared" si="11"/>
        <v>1091.6083333333333</v>
      </c>
      <c r="N75" s="55">
        <f t="shared" si="10"/>
        <v>1378.9974999999999</v>
      </c>
      <c r="O75" s="33" t="s">
        <v>54</v>
      </c>
      <c r="P75" s="60" t="s">
        <v>270</v>
      </c>
      <c r="Q75" s="60" t="s">
        <v>271</v>
      </c>
      <c r="R75" s="85"/>
      <c r="S75" s="58">
        <v>325411</v>
      </c>
      <c r="T75" s="56" t="s">
        <v>56</v>
      </c>
    </row>
    <row r="76" spans="1:20" x14ac:dyDescent="0.2">
      <c r="A76" s="45">
        <v>72</v>
      </c>
      <c r="B76" s="84" t="s">
        <v>272</v>
      </c>
      <c r="C76" s="46" t="s">
        <v>273</v>
      </c>
      <c r="D76" s="158" t="s">
        <v>274</v>
      </c>
      <c r="E76" s="74">
        <v>675</v>
      </c>
      <c r="F76" s="52">
        <v>675</v>
      </c>
      <c r="G76" s="50">
        <f t="shared" si="7"/>
        <v>50.625</v>
      </c>
      <c r="H76" s="50">
        <f t="shared" si="8"/>
        <v>96.187499999999986</v>
      </c>
      <c r="I76" s="51">
        <f t="shared" si="9"/>
        <v>0</v>
      </c>
      <c r="J76" s="52"/>
      <c r="K76" s="52">
        <v>0</v>
      </c>
      <c r="L76" s="53"/>
      <c r="M76" s="54">
        <f t="shared" si="11"/>
        <v>624.375</v>
      </c>
      <c r="N76" s="55">
        <f t="shared" si="10"/>
        <v>771.1875</v>
      </c>
      <c r="O76" s="33" t="s">
        <v>54</v>
      </c>
      <c r="P76" s="60" t="s">
        <v>272</v>
      </c>
      <c r="Q76" s="60" t="s">
        <v>273</v>
      </c>
      <c r="R76" s="85"/>
      <c r="S76" s="62">
        <v>325411</v>
      </c>
      <c r="T76" s="60" t="s">
        <v>275</v>
      </c>
    </row>
    <row r="77" spans="1:20" x14ac:dyDescent="0.2">
      <c r="A77" s="45">
        <v>73</v>
      </c>
      <c r="B77" s="84" t="s">
        <v>276</v>
      </c>
      <c r="C77" s="46" t="s">
        <v>277</v>
      </c>
      <c r="D77" s="158" t="s">
        <v>278</v>
      </c>
      <c r="E77" s="74">
        <v>530</v>
      </c>
      <c r="F77" s="52">
        <v>530</v>
      </c>
      <c r="G77" s="50">
        <f t="shared" si="7"/>
        <v>39.75</v>
      </c>
      <c r="H77" s="50">
        <f t="shared" si="8"/>
        <v>75.524999999999991</v>
      </c>
      <c r="I77" s="51">
        <f t="shared" si="9"/>
        <v>0</v>
      </c>
      <c r="J77" s="52"/>
      <c r="K77" s="52">
        <v>0</v>
      </c>
      <c r="L77" s="53"/>
      <c r="M77" s="54">
        <f t="shared" si="11"/>
        <v>490.25</v>
      </c>
      <c r="N77" s="55">
        <f t="shared" si="10"/>
        <v>605.52499999999998</v>
      </c>
      <c r="O77" s="33" t="s">
        <v>54</v>
      </c>
      <c r="P77" s="60" t="s">
        <v>276</v>
      </c>
      <c r="Q77" s="60" t="s">
        <v>277</v>
      </c>
      <c r="R77" s="85"/>
      <c r="S77" s="62">
        <v>325411</v>
      </c>
      <c r="T77" s="60" t="s">
        <v>275</v>
      </c>
    </row>
    <row r="78" spans="1:20" x14ac:dyDescent="0.2">
      <c r="A78" s="45">
        <v>74</v>
      </c>
      <c r="B78" s="84" t="s">
        <v>279</v>
      </c>
      <c r="C78" s="46" t="s">
        <v>280</v>
      </c>
      <c r="D78" s="158" t="s">
        <v>250</v>
      </c>
      <c r="E78" s="74">
        <v>1280</v>
      </c>
      <c r="F78" s="52">
        <v>1280</v>
      </c>
      <c r="G78" s="50">
        <f t="shared" si="7"/>
        <v>96</v>
      </c>
      <c r="H78" s="50">
        <f t="shared" si="8"/>
        <v>182.39999999999998</v>
      </c>
      <c r="I78" s="51">
        <f t="shared" si="9"/>
        <v>32.166666666666664</v>
      </c>
      <c r="J78" s="52"/>
      <c r="K78" s="52">
        <v>0</v>
      </c>
      <c r="L78" s="53"/>
      <c r="M78" s="54">
        <f t="shared" si="11"/>
        <v>1151.8333333333333</v>
      </c>
      <c r="N78" s="55">
        <f t="shared" si="10"/>
        <v>1462.4</v>
      </c>
      <c r="O78" s="33" t="s">
        <v>54</v>
      </c>
      <c r="P78" s="60" t="s">
        <v>279</v>
      </c>
      <c r="Q78" s="60" t="s">
        <v>281</v>
      </c>
      <c r="R78" s="85"/>
      <c r="S78" s="62">
        <v>325311</v>
      </c>
      <c r="T78" s="60" t="s">
        <v>56</v>
      </c>
    </row>
    <row r="79" spans="1:20" x14ac:dyDescent="0.2">
      <c r="A79" s="45">
        <v>75</v>
      </c>
      <c r="B79" s="84" t="s">
        <v>282</v>
      </c>
      <c r="C79" s="46" t="s">
        <v>283</v>
      </c>
      <c r="D79" s="158" t="s">
        <v>284</v>
      </c>
      <c r="E79" s="74">
        <v>850</v>
      </c>
      <c r="F79" s="52">
        <v>850</v>
      </c>
      <c r="G79" s="50">
        <f t="shared" si="7"/>
        <v>63.75</v>
      </c>
      <c r="H79" s="50">
        <f t="shared" si="8"/>
        <v>121.12499999999999</v>
      </c>
      <c r="I79" s="51">
        <f t="shared" si="9"/>
        <v>5</v>
      </c>
      <c r="J79" s="52"/>
      <c r="K79" s="52">
        <v>0</v>
      </c>
      <c r="L79" s="53"/>
      <c r="M79" s="54">
        <f t="shared" si="11"/>
        <v>781.25</v>
      </c>
      <c r="N79" s="55">
        <f t="shared" si="10"/>
        <v>971.125</v>
      </c>
      <c r="O79" s="33" t="s">
        <v>54</v>
      </c>
      <c r="P79" s="88" t="s">
        <v>282</v>
      </c>
      <c r="Q79" s="88" t="s">
        <v>283</v>
      </c>
      <c r="R79" s="85"/>
      <c r="S79" s="62">
        <v>323111</v>
      </c>
      <c r="T79" s="60" t="s">
        <v>56</v>
      </c>
    </row>
    <row r="80" spans="1:20" x14ac:dyDescent="0.2">
      <c r="A80" s="45">
        <v>76</v>
      </c>
      <c r="B80" s="84" t="s">
        <v>285</v>
      </c>
      <c r="C80" s="46" t="s">
        <v>286</v>
      </c>
      <c r="D80" s="158" t="s">
        <v>287</v>
      </c>
      <c r="E80" s="74">
        <v>550</v>
      </c>
      <c r="F80" s="52">
        <v>550</v>
      </c>
      <c r="G80" s="50">
        <f t="shared" si="7"/>
        <v>41.25</v>
      </c>
      <c r="H80" s="50">
        <f t="shared" si="8"/>
        <v>78.375</v>
      </c>
      <c r="I80" s="51">
        <f t="shared" si="9"/>
        <v>0</v>
      </c>
      <c r="J80" s="52"/>
      <c r="K80" s="52">
        <v>0</v>
      </c>
      <c r="L80" s="53"/>
      <c r="M80" s="54">
        <f t="shared" si="11"/>
        <v>508.75</v>
      </c>
      <c r="N80" s="55">
        <f t="shared" si="10"/>
        <v>628.375</v>
      </c>
      <c r="O80" s="33" t="s">
        <v>54</v>
      </c>
      <c r="P80" s="88" t="s">
        <v>285</v>
      </c>
      <c r="Q80" s="88" t="s">
        <v>286</v>
      </c>
      <c r="R80" s="85"/>
      <c r="S80" s="62">
        <v>323111</v>
      </c>
      <c r="T80" s="60" t="s">
        <v>56</v>
      </c>
    </row>
    <row r="81" spans="1:20" x14ac:dyDescent="0.2">
      <c r="A81" s="45">
        <v>77</v>
      </c>
      <c r="B81" s="84" t="s">
        <v>288</v>
      </c>
      <c r="C81" s="46" t="s">
        <v>289</v>
      </c>
      <c r="D81" s="158" t="s">
        <v>287</v>
      </c>
      <c r="E81" s="74">
        <v>550</v>
      </c>
      <c r="F81" s="52">
        <v>550</v>
      </c>
      <c r="G81" s="50">
        <f t="shared" si="7"/>
        <v>41.25</v>
      </c>
      <c r="H81" s="50">
        <f t="shared" si="8"/>
        <v>78.375</v>
      </c>
      <c r="I81" s="51">
        <f t="shared" si="9"/>
        <v>0</v>
      </c>
      <c r="J81" s="52"/>
      <c r="K81" s="52">
        <v>0</v>
      </c>
      <c r="L81" s="53"/>
      <c r="M81" s="54">
        <f t="shared" si="11"/>
        <v>508.75</v>
      </c>
      <c r="N81" s="55">
        <f t="shared" si="10"/>
        <v>628.375</v>
      </c>
      <c r="O81" s="33" t="s">
        <v>54</v>
      </c>
      <c r="P81" s="88" t="s">
        <v>288</v>
      </c>
      <c r="Q81" s="88" t="s">
        <v>289</v>
      </c>
      <c r="R81" s="85"/>
      <c r="S81" s="62">
        <v>323111</v>
      </c>
      <c r="T81" s="60" t="s">
        <v>56</v>
      </c>
    </row>
    <row r="82" spans="1:20" ht="15" x14ac:dyDescent="0.25">
      <c r="A82" s="45">
        <v>78</v>
      </c>
      <c r="B82" s="84" t="s">
        <v>290</v>
      </c>
      <c r="C82" s="156" t="s">
        <v>291</v>
      </c>
      <c r="D82" s="158" t="s">
        <v>65</v>
      </c>
      <c r="E82" s="74">
        <v>850</v>
      </c>
      <c r="F82" s="52">
        <v>850</v>
      </c>
      <c r="G82" s="50">
        <f t="shared" si="7"/>
        <v>63.75</v>
      </c>
      <c r="H82" s="50">
        <f t="shared" si="8"/>
        <v>121.12499999999999</v>
      </c>
      <c r="I82" s="51">
        <f t="shared" si="9"/>
        <v>5</v>
      </c>
      <c r="J82" s="52"/>
      <c r="K82" s="52">
        <v>0</v>
      </c>
      <c r="L82" s="53"/>
      <c r="M82" s="54">
        <f t="shared" si="11"/>
        <v>781.25</v>
      </c>
      <c r="N82" s="55">
        <f t="shared" si="10"/>
        <v>971.125</v>
      </c>
      <c r="O82" s="33" t="s">
        <v>54</v>
      </c>
      <c r="P82" s="84" t="s">
        <v>290</v>
      </c>
      <c r="Q82" s="89" t="s">
        <v>291</v>
      </c>
      <c r="R82" s="85"/>
      <c r="S82" s="58">
        <v>323111</v>
      </c>
      <c r="T82" s="56" t="s">
        <v>56</v>
      </c>
    </row>
    <row r="83" spans="1:20" ht="15" x14ac:dyDescent="0.25">
      <c r="A83" s="45">
        <v>79</v>
      </c>
      <c r="B83" s="84" t="s">
        <v>292</v>
      </c>
      <c r="C83" s="156" t="s">
        <v>293</v>
      </c>
      <c r="D83" s="158" t="s">
        <v>65</v>
      </c>
      <c r="E83" s="74">
        <v>850</v>
      </c>
      <c r="F83" s="52">
        <v>850</v>
      </c>
      <c r="G83" s="50">
        <f t="shared" si="7"/>
        <v>63.75</v>
      </c>
      <c r="H83" s="50">
        <f t="shared" si="8"/>
        <v>121.12499999999999</v>
      </c>
      <c r="I83" s="51">
        <f t="shared" si="9"/>
        <v>5</v>
      </c>
      <c r="J83" s="52"/>
      <c r="K83" s="52">
        <v>0</v>
      </c>
      <c r="L83" s="53"/>
      <c r="M83" s="54">
        <f t="shared" si="11"/>
        <v>781.25</v>
      </c>
      <c r="N83" s="55">
        <f t="shared" si="10"/>
        <v>971.125</v>
      </c>
      <c r="O83" s="33" t="s">
        <v>54</v>
      </c>
      <c r="P83" s="84" t="s">
        <v>292</v>
      </c>
      <c r="Q83" s="89" t="s">
        <v>293</v>
      </c>
      <c r="R83" s="85"/>
      <c r="S83" s="62">
        <v>323111</v>
      </c>
      <c r="T83" s="60" t="s">
        <v>56</v>
      </c>
    </row>
    <row r="84" spans="1:20" ht="15" x14ac:dyDescent="0.25">
      <c r="A84" s="45">
        <v>80</v>
      </c>
      <c r="B84" s="84" t="s">
        <v>294</v>
      </c>
      <c r="C84" s="156" t="s">
        <v>295</v>
      </c>
      <c r="D84" s="158" t="s">
        <v>296</v>
      </c>
      <c r="E84" s="74">
        <v>1170</v>
      </c>
      <c r="F84" s="52">
        <v>1170</v>
      </c>
      <c r="G84" s="50">
        <f t="shared" si="7"/>
        <v>87.75</v>
      </c>
      <c r="H84" s="50">
        <f t="shared" si="8"/>
        <v>166.72499999999999</v>
      </c>
      <c r="I84" s="51">
        <f t="shared" si="9"/>
        <v>21.166666666666668</v>
      </c>
      <c r="J84" s="52"/>
      <c r="K84" s="52">
        <v>0</v>
      </c>
      <c r="L84" s="53"/>
      <c r="M84" s="54">
        <f t="shared" si="11"/>
        <v>1061.0833333333333</v>
      </c>
      <c r="N84" s="55">
        <f t="shared" si="10"/>
        <v>1336.7249999999999</v>
      </c>
      <c r="O84" s="33" t="s">
        <v>54</v>
      </c>
      <c r="P84" s="84" t="s">
        <v>294</v>
      </c>
      <c r="Q84" s="89" t="s">
        <v>295</v>
      </c>
      <c r="R84" s="85"/>
      <c r="S84" s="62">
        <v>326111</v>
      </c>
      <c r="T84" s="60" t="s">
        <v>56</v>
      </c>
    </row>
    <row r="85" spans="1:20" ht="15" x14ac:dyDescent="0.25">
      <c r="A85" s="45">
        <v>81</v>
      </c>
      <c r="B85" s="84" t="s">
        <v>297</v>
      </c>
      <c r="C85" s="156" t="s">
        <v>298</v>
      </c>
      <c r="D85" s="158" t="s">
        <v>299</v>
      </c>
      <c r="E85" s="74">
        <v>2770</v>
      </c>
      <c r="F85" s="52">
        <v>2770</v>
      </c>
      <c r="G85" s="50">
        <f t="shared" si="7"/>
        <v>207.75</v>
      </c>
      <c r="H85" s="50">
        <f t="shared" si="8"/>
        <v>394.72499999999997</v>
      </c>
      <c r="I85" s="51">
        <f t="shared" si="9"/>
        <v>129</v>
      </c>
      <c r="J85" s="52"/>
      <c r="K85" s="52">
        <v>0</v>
      </c>
      <c r="L85" s="53"/>
      <c r="M85" s="54">
        <f t="shared" si="11"/>
        <v>2433.25</v>
      </c>
      <c r="N85" s="55">
        <f t="shared" si="10"/>
        <v>3164.7249999999999</v>
      </c>
      <c r="O85" s="33" t="s">
        <v>69</v>
      </c>
      <c r="P85" s="84" t="s">
        <v>297</v>
      </c>
      <c r="Q85" s="89" t="s">
        <v>298</v>
      </c>
      <c r="R85" s="85"/>
      <c r="S85" s="62">
        <v>329111</v>
      </c>
      <c r="T85" s="60" t="s">
        <v>56</v>
      </c>
    </row>
    <row r="86" spans="1:20" x14ac:dyDescent="0.2">
      <c r="A86" s="45">
        <v>82</v>
      </c>
      <c r="B86" s="84" t="s">
        <v>300</v>
      </c>
      <c r="C86" s="46" t="s">
        <v>301</v>
      </c>
      <c r="D86" s="158" t="s">
        <v>302</v>
      </c>
      <c r="E86" s="74">
        <v>1420</v>
      </c>
      <c r="F86" s="52">
        <v>1420</v>
      </c>
      <c r="G86" s="50">
        <f t="shared" si="7"/>
        <v>106.5</v>
      </c>
      <c r="H86" s="50">
        <f t="shared" si="8"/>
        <v>202.35</v>
      </c>
      <c r="I86" s="51">
        <f t="shared" si="9"/>
        <v>46.166666666666664</v>
      </c>
      <c r="J86" s="52"/>
      <c r="K86" s="52">
        <v>0</v>
      </c>
      <c r="L86" s="53"/>
      <c r="M86" s="54">
        <f t="shared" si="11"/>
        <v>1267.3333333333333</v>
      </c>
      <c r="N86" s="55">
        <f t="shared" si="10"/>
        <v>1622.35</v>
      </c>
      <c r="O86" s="33" t="s">
        <v>54</v>
      </c>
      <c r="P86" s="84" t="s">
        <v>300</v>
      </c>
      <c r="Q86" s="92" t="s">
        <v>301</v>
      </c>
      <c r="R86" s="85"/>
      <c r="S86" s="62">
        <v>325311</v>
      </c>
      <c r="T86" s="60" t="s">
        <v>56</v>
      </c>
    </row>
    <row r="87" spans="1:20" x14ac:dyDescent="0.2">
      <c r="A87" s="45">
        <v>83</v>
      </c>
      <c r="B87" s="84" t="s">
        <v>303</v>
      </c>
      <c r="C87" s="46" t="s">
        <v>304</v>
      </c>
      <c r="D87" s="158" t="s">
        <v>302</v>
      </c>
      <c r="E87" s="74">
        <v>1490</v>
      </c>
      <c r="F87" s="52">
        <v>1490</v>
      </c>
      <c r="G87" s="50">
        <f t="shared" si="7"/>
        <v>111.75</v>
      </c>
      <c r="H87" s="50">
        <f t="shared" si="8"/>
        <v>212.32499999999999</v>
      </c>
      <c r="I87" s="51">
        <f t="shared" si="9"/>
        <v>53.166666666666664</v>
      </c>
      <c r="J87" s="52"/>
      <c r="K87" s="52">
        <v>0</v>
      </c>
      <c r="L87" s="53"/>
      <c r="M87" s="54">
        <f t="shared" si="11"/>
        <v>1325.0833333333333</v>
      </c>
      <c r="N87" s="55">
        <f t="shared" si="10"/>
        <v>1702.325</v>
      </c>
      <c r="O87" s="33" t="s">
        <v>54</v>
      </c>
      <c r="P87" s="84" t="s">
        <v>303</v>
      </c>
      <c r="Q87" s="92" t="s">
        <v>304</v>
      </c>
      <c r="R87" s="85"/>
      <c r="S87" s="62">
        <v>325311</v>
      </c>
      <c r="T87" s="60" t="s">
        <v>56</v>
      </c>
    </row>
    <row r="88" spans="1:20" x14ac:dyDescent="0.2">
      <c r="A88" s="45">
        <v>84</v>
      </c>
      <c r="B88" s="84" t="s">
        <v>305</v>
      </c>
      <c r="C88" s="46" t="s">
        <v>306</v>
      </c>
      <c r="D88" s="158" t="s">
        <v>307</v>
      </c>
      <c r="E88" s="74">
        <v>1008</v>
      </c>
      <c r="F88" s="52">
        <v>1008</v>
      </c>
      <c r="G88" s="50">
        <f t="shared" si="7"/>
        <v>75.599999999999994</v>
      </c>
      <c r="H88" s="50">
        <f t="shared" si="8"/>
        <v>143.63999999999999</v>
      </c>
      <c r="I88" s="51">
        <f t="shared" si="9"/>
        <v>12.9</v>
      </c>
      <c r="J88" s="52"/>
      <c r="K88" s="52">
        <v>0</v>
      </c>
      <c r="L88" s="53"/>
      <c r="M88" s="54">
        <f t="shared" si="11"/>
        <v>919.5</v>
      </c>
      <c r="N88" s="55">
        <f t="shared" si="10"/>
        <v>1151.6399999999999</v>
      </c>
      <c r="O88" s="33" t="s">
        <v>54</v>
      </c>
      <c r="P88" s="84" t="s">
        <v>305</v>
      </c>
      <c r="Q88" s="92" t="s">
        <v>306</v>
      </c>
      <c r="R88" s="85"/>
      <c r="S88" s="62">
        <v>322111</v>
      </c>
      <c r="T88" s="60" t="s">
        <v>56</v>
      </c>
    </row>
    <row r="89" spans="1:20" x14ac:dyDescent="0.2">
      <c r="A89" s="45">
        <v>85</v>
      </c>
      <c r="B89" s="84" t="s">
        <v>308</v>
      </c>
      <c r="C89" s="46" t="s">
        <v>309</v>
      </c>
      <c r="D89" s="158" t="s">
        <v>417</v>
      </c>
      <c r="E89" s="74">
        <v>2130</v>
      </c>
      <c r="F89" s="52">
        <v>2130</v>
      </c>
      <c r="G89" s="50">
        <f t="shared" si="7"/>
        <v>159.75</v>
      </c>
      <c r="H89" s="50">
        <f t="shared" si="8"/>
        <v>303.52499999999998</v>
      </c>
      <c r="I89" s="51">
        <f t="shared" si="9"/>
        <v>151</v>
      </c>
      <c r="J89" s="52"/>
      <c r="K89" s="52">
        <v>0</v>
      </c>
      <c r="L89" s="53"/>
      <c r="M89" s="54">
        <f t="shared" si="11"/>
        <v>1819.25</v>
      </c>
      <c r="N89" s="55">
        <f t="shared" si="10"/>
        <v>2433.5250000000001</v>
      </c>
      <c r="O89" s="33" t="s">
        <v>54</v>
      </c>
      <c r="P89" s="84" t="s">
        <v>308</v>
      </c>
      <c r="Q89" s="92" t="s">
        <v>309</v>
      </c>
      <c r="R89" s="85"/>
      <c r="S89" s="58">
        <v>325311</v>
      </c>
      <c r="T89" s="56" t="s">
        <v>56</v>
      </c>
    </row>
    <row r="90" spans="1:20" x14ac:dyDescent="0.2">
      <c r="A90" s="45">
        <v>86</v>
      </c>
      <c r="B90" s="84" t="s">
        <v>311</v>
      </c>
      <c r="C90" s="46" t="s">
        <v>312</v>
      </c>
      <c r="D90" s="158" t="s">
        <v>313</v>
      </c>
      <c r="E90" s="74">
        <v>1880</v>
      </c>
      <c r="F90" s="74">
        <v>1880</v>
      </c>
      <c r="G90" s="50">
        <f t="shared" si="7"/>
        <v>141</v>
      </c>
      <c r="H90" s="50">
        <f t="shared" si="8"/>
        <v>267.89999999999998</v>
      </c>
      <c r="I90" s="51">
        <f t="shared" si="9"/>
        <v>107</v>
      </c>
      <c r="J90" s="52"/>
      <c r="K90" s="52">
        <v>0</v>
      </c>
      <c r="L90" s="53"/>
      <c r="M90" s="54">
        <f t="shared" si="11"/>
        <v>1632</v>
      </c>
      <c r="N90" s="55">
        <f t="shared" si="10"/>
        <v>2147.9</v>
      </c>
      <c r="O90" s="33" t="s">
        <v>54</v>
      </c>
      <c r="P90" s="84" t="s">
        <v>311</v>
      </c>
      <c r="Q90" s="92" t="s">
        <v>312</v>
      </c>
      <c r="R90" s="85"/>
      <c r="S90" s="62">
        <v>329111</v>
      </c>
      <c r="T90" s="60" t="s">
        <v>56</v>
      </c>
    </row>
    <row r="91" spans="1:20" x14ac:dyDescent="0.2">
      <c r="A91" s="45">
        <v>87</v>
      </c>
      <c r="B91" s="84" t="s">
        <v>314</v>
      </c>
      <c r="C91" s="46" t="s">
        <v>315</v>
      </c>
      <c r="D91" s="158" t="s">
        <v>506</v>
      </c>
      <c r="E91" s="74">
        <v>355</v>
      </c>
      <c r="F91" s="52">
        <f t="shared" ref="F91:F96" si="12">E91/31*31</f>
        <v>355</v>
      </c>
      <c r="G91" s="50">
        <f>320*0.075</f>
        <v>24</v>
      </c>
      <c r="H91" s="50">
        <f>320*0.1425</f>
        <v>45.599999999999994</v>
      </c>
      <c r="I91" s="51">
        <f t="shared" si="9"/>
        <v>0</v>
      </c>
      <c r="J91" s="52"/>
      <c r="K91" s="52">
        <v>0</v>
      </c>
      <c r="L91" s="53"/>
      <c r="M91" s="54">
        <f t="shared" si="11"/>
        <v>331</v>
      </c>
      <c r="N91" s="55">
        <f t="shared" si="10"/>
        <v>400.6</v>
      </c>
      <c r="O91" s="33" t="s">
        <v>54</v>
      </c>
      <c r="P91" s="84" t="s">
        <v>314</v>
      </c>
      <c r="Q91" s="92" t="s">
        <v>315</v>
      </c>
      <c r="R91" s="85"/>
      <c r="S91" s="62">
        <v>318531</v>
      </c>
      <c r="T91" s="60" t="s">
        <v>317</v>
      </c>
    </row>
    <row r="92" spans="1:20" x14ac:dyDescent="0.2">
      <c r="A92" s="45">
        <v>88</v>
      </c>
      <c r="B92" s="84" t="s">
        <v>318</v>
      </c>
      <c r="C92" s="46" t="s">
        <v>319</v>
      </c>
      <c r="D92" s="158" t="s">
        <v>320</v>
      </c>
      <c r="E92" s="74">
        <v>8300</v>
      </c>
      <c r="F92" s="52">
        <f t="shared" si="12"/>
        <v>8300</v>
      </c>
      <c r="G92" s="50">
        <f>5000*0.075</f>
        <v>375</v>
      </c>
      <c r="H92" s="50">
        <f>5000*0.1425</f>
        <v>712.49999999999989</v>
      </c>
      <c r="I92" s="51">
        <f t="shared" si="9"/>
        <v>1679.1666666666667</v>
      </c>
      <c r="J92" s="52"/>
      <c r="K92" s="52">
        <v>0</v>
      </c>
      <c r="L92" s="53"/>
      <c r="M92" s="54">
        <f t="shared" si="11"/>
        <v>6245.833333333333</v>
      </c>
      <c r="N92" s="55">
        <f t="shared" si="10"/>
        <v>9012.5</v>
      </c>
      <c r="O92" s="33" t="s">
        <v>54</v>
      </c>
      <c r="P92" s="84" t="s">
        <v>318</v>
      </c>
      <c r="Q92" s="92" t="s">
        <v>319</v>
      </c>
      <c r="R92" s="85"/>
      <c r="S92" s="62">
        <v>131111</v>
      </c>
      <c r="T92" s="60"/>
    </row>
    <row r="93" spans="1:20" x14ac:dyDescent="0.2">
      <c r="A93" s="45">
        <v>89</v>
      </c>
      <c r="B93" s="84" t="s">
        <v>321</v>
      </c>
      <c r="C93" s="46" t="s">
        <v>322</v>
      </c>
      <c r="D93" s="158" t="s">
        <v>323</v>
      </c>
      <c r="E93" s="74">
        <v>2550</v>
      </c>
      <c r="F93" s="52">
        <f t="shared" si="12"/>
        <v>2550</v>
      </c>
      <c r="G93" s="50">
        <f t="shared" ref="G93:G113" si="13">E93*0.075</f>
        <v>191.25</v>
      </c>
      <c r="H93" s="50">
        <f t="shared" ref="H93:H113" si="14">E93*0.1425</f>
        <v>363.37499999999994</v>
      </c>
      <c r="I93" s="51">
        <f t="shared" si="9"/>
        <v>241.66666666666666</v>
      </c>
      <c r="J93" s="52"/>
      <c r="K93" s="52">
        <v>0</v>
      </c>
      <c r="L93" s="53"/>
      <c r="M93" s="54">
        <f t="shared" si="11"/>
        <v>2117.0833333333335</v>
      </c>
      <c r="N93" s="55">
        <f t="shared" si="10"/>
        <v>2913.375</v>
      </c>
      <c r="O93" s="33" t="s">
        <v>54</v>
      </c>
      <c r="P93" s="84" t="s">
        <v>321</v>
      </c>
      <c r="Q93" s="92" t="s">
        <v>322</v>
      </c>
      <c r="R93" s="85"/>
      <c r="S93" s="62">
        <v>318242</v>
      </c>
      <c r="T93" s="60" t="s">
        <v>324</v>
      </c>
    </row>
    <row r="94" spans="1:20" x14ac:dyDescent="0.2">
      <c r="A94" s="45">
        <v>90</v>
      </c>
      <c r="B94" s="84" t="s">
        <v>325</v>
      </c>
      <c r="C94" s="46" t="s">
        <v>326</v>
      </c>
      <c r="D94" s="158" t="s">
        <v>327</v>
      </c>
      <c r="E94" s="74">
        <v>1350</v>
      </c>
      <c r="F94" s="52">
        <f t="shared" si="12"/>
        <v>1350</v>
      </c>
      <c r="G94" s="50">
        <f t="shared" si="13"/>
        <v>101.25</v>
      </c>
      <c r="H94" s="50">
        <f t="shared" si="14"/>
        <v>192.37499999999997</v>
      </c>
      <c r="I94" s="51">
        <f t="shared" si="9"/>
        <v>39.166666666666664</v>
      </c>
      <c r="J94" s="52"/>
      <c r="K94" s="52">
        <v>0</v>
      </c>
      <c r="L94" s="53"/>
      <c r="M94" s="54">
        <f t="shared" si="11"/>
        <v>1209.5833333333333</v>
      </c>
      <c r="N94" s="55">
        <f t="shared" si="10"/>
        <v>1542.375</v>
      </c>
      <c r="O94" s="33" t="s">
        <v>54</v>
      </c>
      <c r="P94" s="84" t="s">
        <v>325</v>
      </c>
      <c r="Q94" s="92" t="s">
        <v>326</v>
      </c>
      <c r="R94" s="85"/>
      <c r="S94" s="62">
        <v>323111</v>
      </c>
      <c r="T94" s="60" t="s">
        <v>240</v>
      </c>
    </row>
    <row r="95" spans="1:20" x14ac:dyDescent="0.2">
      <c r="A95" s="45">
        <v>91</v>
      </c>
      <c r="B95" s="84" t="s">
        <v>328</v>
      </c>
      <c r="C95" s="46" t="s">
        <v>329</v>
      </c>
      <c r="D95" s="158" t="s">
        <v>327</v>
      </c>
      <c r="E95" s="74">
        <v>1350</v>
      </c>
      <c r="F95" s="52">
        <f t="shared" si="12"/>
        <v>1350</v>
      </c>
      <c r="G95" s="50">
        <f t="shared" si="13"/>
        <v>101.25</v>
      </c>
      <c r="H95" s="50">
        <f t="shared" si="14"/>
        <v>192.37499999999997</v>
      </c>
      <c r="I95" s="51">
        <f t="shared" si="9"/>
        <v>39.166666666666664</v>
      </c>
      <c r="J95" s="52"/>
      <c r="K95" s="52">
        <v>0</v>
      </c>
      <c r="L95" s="53"/>
      <c r="M95" s="54">
        <f t="shared" si="11"/>
        <v>1209.5833333333333</v>
      </c>
      <c r="N95" s="55">
        <f t="shared" si="10"/>
        <v>1542.375</v>
      </c>
      <c r="O95" s="33" t="s">
        <v>54</v>
      </c>
      <c r="P95" s="84" t="s">
        <v>328</v>
      </c>
      <c r="Q95" s="92" t="s">
        <v>329</v>
      </c>
      <c r="R95" s="85"/>
      <c r="S95" s="62">
        <v>327111</v>
      </c>
      <c r="T95" s="60" t="s">
        <v>330</v>
      </c>
    </row>
    <row r="96" spans="1:20" x14ac:dyDescent="0.2">
      <c r="A96" s="45">
        <v>92</v>
      </c>
      <c r="B96" s="84" t="s">
        <v>331</v>
      </c>
      <c r="C96" s="46" t="s">
        <v>332</v>
      </c>
      <c r="D96" s="158" t="s">
        <v>418</v>
      </c>
      <c r="E96" s="74">
        <v>320</v>
      </c>
      <c r="F96" s="52">
        <f t="shared" si="12"/>
        <v>320</v>
      </c>
      <c r="G96" s="50">
        <f t="shared" si="13"/>
        <v>24</v>
      </c>
      <c r="H96" s="50">
        <f t="shared" si="14"/>
        <v>45.599999999999994</v>
      </c>
      <c r="I96" s="51">
        <f t="shared" si="9"/>
        <v>0</v>
      </c>
      <c r="J96" s="52"/>
      <c r="K96" s="52">
        <v>0</v>
      </c>
      <c r="L96" s="53"/>
      <c r="M96" s="54">
        <f t="shared" si="11"/>
        <v>296</v>
      </c>
      <c r="N96" s="55">
        <f t="shared" si="10"/>
        <v>365.6</v>
      </c>
      <c r="O96" s="33" t="s">
        <v>54</v>
      </c>
      <c r="P96" s="84" t="s">
        <v>331</v>
      </c>
      <c r="Q96" s="92" t="s">
        <v>334</v>
      </c>
      <c r="R96" s="85"/>
      <c r="S96" s="58">
        <v>323111</v>
      </c>
      <c r="T96" s="56" t="s">
        <v>56</v>
      </c>
    </row>
    <row r="97" spans="1:20" x14ac:dyDescent="0.2">
      <c r="A97" s="45">
        <v>93</v>
      </c>
      <c r="B97" s="84" t="s">
        <v>335</v>
      </c>
      <c r="C97" s="46" t="s">
        <v>336</v>
      </c>
      <c r="D97" s="158" t="s">
        <v>337</v>
      </c>
      <c r="E97" s="74">
        <v>1700</v>
      </c>
      <c r="F97" s="52">
        <f>E97/30*30</f>
        <v>1700</v>
      </c>
      <c r="G97" s="50">
        <f t="shared" si="13"/>
        <v>127.5</v>
      </c>
      <c r="H97" s="50">
        <f t="shared" si="14"/>
        <v>242.24999999999997</v>
      </c>
      <c r="I97" s="51">
        <f t="shared" si="9"/>
        <v>80</v>
      </c>
      <c r="J97" s="52"/>
      <c r="K97" s="52">
        <v>0</v>
      </c>
      <c r="L97" s="53"/>
      <c r="M97" s="54">
        <f t="shared" si="11"/>
        <v>1492.5</v>
      </c>
      <c r="N97" s="55">
        <f t="shared" si="10"/>
        <v>1942.25</v>
      </c>
      <c r="O97" s="33" t="s">
        <v>54</v>
      </c>
      <c r="P97" s="84" t="s">
        <v>335</v>
      </c>
      <c r="Q97" s="92" t="s">
        <v>338</v>
      </c>
      <c r="S97" s="62" t="s">
        <v>339</v>
      </c>
      <c r="T97" s="60" t="s">
        <v>177</v>
      </c>
    </row>
    <row r="98" spans="1:20" x14ac:dyDescent="0.2">
      <c r="A98" s="45">
        <v>94</v>
      </c>
      <c r="B98" s="84" t="s">
        <v>340</v>
      </c>
      <c r="C98" s="46" t="s">
        <v>341</v>
      </c>
      <c r="D98" s="158" t="s">
        <v>327</v>
      </c>
      <c r="E98" s="74">
        <v>1350</v>
      </c>
      <c r="F98" s="52">
        <f>E98/30*30</f>
        <v>1350</v>
      </c>
      <c r="G98" s="50">
        <f t="shared" si="13"/>
        <v>101.25</v>
      </c>
      <c r="H98" s="50">
        <f t="shared" si="14"/>
        <v>192.37499999999997</v>
      </c>
      <c r="I98" s="51">
        <f t="shared" si="9"/>
        <v>39.166666666666664</v>
      </c>
      <c r="J98" s="52"/>
      <c r="K98" s="52">
        <v>0</v>
      </c>
      <c r="L98" s="53"/>
      <c r="M98" s="54">
        <f t="shared" si="11"/>
        <v>1209.5833333333333</v>
      </c>
      <c r="N98" s="55">
        <f t="shared" si="10"/>
        <v>1542.375</v>
      </c>
      <c r="O98" s="33" t="s">
        <v>54</v>
      </c>
      <c r="P98" s="84" t="s">
        <v>340</v>
      </c>
      <c r="Q98" s="92" t="s">
        <v>342</v>
      </c>
      <c r="S98" s="62">
        <v>327111</v>
      </c>
      <c r="T98" s="60" t="s">
        <v>56</v>
      </c>
    </row>
    <row r="99" spans="1:20" x14ac:dyDescent="0.2">
      <c r="A99" s="45">
        <v>95</v>
      </c>
      <c r="B99" s="84" t="s">
        <v>343</v>
      </c>
      <c r="C99" s="46" t="s">
        <v>344</v>
      </c>
      <c r="D99" s="158" t="s">
        <v>94</v>
      </c>
      <c r="E99" s="74">
        <v>2700</v>
      </c>
      <c r="F99" s="52">
        <f>E99/30*30</f>
        <v>2700</v>
      </c>
      <c r="G99" s="50">
        <f t="shared" si="13"/>
        <v>202.5</v>
      </c>
      <c r="H99" s="50">
        <f t="shared" si="14"/>
        <v>384.74999999999994</v>
      </c>
      <c r="I99" s="51">
        <f t="shared" si="9"/>
        <v>117.5</v>
      </c>
      <c r="J99" s="52"/>
      <c r="K99" s="52">
        <v>0</v>
      </c>
      <c r="L99" s="53"/>
      <c r="M99" s="54">
        <f t="shared" si="11"/>
        <v>2380</v>
      </c>
      <c r="N99" s="55">
        <f t="shared" si="10"/>
        <v>3084.75</v>
      </c>
      <c r="O99" s="33" t="s">
        <v>345</v>
      </c>
      <c r="P99" s="84" t="s">
        <v>343</v>
      </c>
      <c r="Q99" s="92" t="s">
        <v>346</v>
      </c>
      <c r="S99" s="62">
        <v>329111</v>
      </c>
      <c r="T99" s="60" t="s">
        <v>56</v>
      </c>
    </row>
    <row r="100" spans="1:20" x14ac:dyDescent="0.2">
      <c r="A100" s="45">
        <v>96</v>
      </c>
      <c r="B100" s="84" t="s">
        <v>350</v>
      </c>
      <c r="C100" s="46" t="s">
        <v>351</v>
      </c>
      <c r="D100" s="158" t="s">
        <v>352</v>
      </c>
      <c r="E100" s="74">
        <v>800</v>
      </c>
      <c r="F100" s="52">
        <f t="shared" ref="F100:F103" si="15">E100/31*31</f>
        <v>800</v>
      </c>
      <c r="G100" s="50">
        <f t="shared" si="13"/>
        <v>60</v>
      </c>
      <c r="H100" s="50">
        <f t="shared" si="14"/>
        <v>113.99999999999999</v>
      </c>
      <c r="I100" s="51">
        <f t="shared" si="9"/>
        <v>2.5</v>
      </c>
      <c r="J100" s="52"/>
      <c r="K100" s="52">
        <v>0</v>
      </c>
      <c r="L100" s="53"/>
      <c r="M100" s="54">
        <f t="shared" si="11"/>
        <v>737.5</v>
      </c>
      <c r="N100" s="55">
        <f t="shared" si="10"/>
        <v>914</v>
      </c>
      <c r="O100" s="33" t="s">
        <v>353</v>
      </c>
      <c r="P100" s="84" t="s">
        <v>350</v>
      </c>
      <c r="Q100" s="92" t="s">
        <v>351</v>
      </c>
      <c r="S100" s="62" t="s">
        <v>354</v>
      </c>
      <c r="T100" s="60" t="s">
        <v>355</v>
      </c>
    </row>
    <row r="101" spans="1:20" x14ac:dyDescent="0.2">
      <c r="A101" s="45">
        <v>97</v>
      </c>
      <c r="B101" s="84" t="s">
        <v>356</v>
      </c>
      <c r="C101" s="46" t="s">
        <v>357</v>
      </c>
      <c r="D101" s="158" t="s">
        <v>250</v>
      </c>
      <c r="E101" s="74">
        <v>1135</v>
      </c>
      <c r="F101" s="52">
        <f t="shared" si="15"/>
        <v>1135</v>
      </c>
      <c r="G101" s="50">
        <f t="shared" si="13"/>
        <v>85.125</v>
      </c>
      <c r="H101" s="50">
        <f t="shared" si="14"/>
        <v>161.73749999999998</v>
      </c>
      <c r="I101" s="51">
        <f t="shared" si="9"/>
        <v>19.25</v>
      </c>
      <c r="J101" s="52"/>
      <c r="K101" s="52">
        <v>0</v>
      </c>
      <c r="L101" s="53"/>
      <c r="M101" s="54">
        <f t="shared" si="11"/>
        <v>1030.625</v>
      </c>
      <c r="N101" s="55">
        <f>F101+H101</f>
        <v>1296.7375</v>
      </c>
      <c r="O101" s="33" t="s">
        <v>353</v>
      </c>
      <c r="P101" s="84" t="s">
        <v>356</v>
      </c>
      <c r="Q101" s="92" t="s">
        <v>357</v>
      </c>
      <c r="S101" s="62" t="s">
        <v>358</v>
      </c>
      <c r="T101" s="60" t="s">
        <v>56</v>
      </c>
    </row>
    <row r="102" spans="1:20" x14ac:dyDescent="0.2">
      <c r="A102" s="45">
        <v>98</v>
      </c>
      <c r="B102" s="84" t="s">
        <v>359</v>
      </c>
      <c r="C102" s="46" t="s">
        <v>360</v>
      </c>
      <c r="D102" s="158" t="s">
        <v>307</v>
      </c>
      <c r="E102" s="74">
        <v>640</v>
      </c>
      <c r="F102" s="52">
        <f t="shared" si="15"/>
        <v>640</v>
      </c>
      <c r="G102" s="50">
        <f t="shared" si="13"/>
        <v>48</v>
      </c>
      <c r="H102" s="50">
        <f t="shared" si="14"/>
        <v>91.199999999999989</v>
      </c>
      <c r="I102" s="51">
        <f t="shared" si="9"/>
        <v>0</v>
      </c>
      <c r="J102" s="52"/>
      <c r="K102" s="52">
        <v>0</v>
      </c>
      <c r="L102" s="53"/>
      <c r="M102" s="54">
        <f t="shared" si="11"/>
        <v>592</v>
      </c>
      <c r="N102" s="55">
        <f t="shared" si="10"/>
        <v>731.2</v>
      </c>
      <c r="O102" s="33" t="s">
        <v>353</v>
      </c>
      <c r="P102" s="84" t="s">
        <v>359</v>
      </c>
      <c r="Q102" s="92" t="s">
        <v>360</v>
      </c>
      <c r="S102" s="58">
        <v>327111</v>
      </c>
      <c r="T102" s="56" t="s">
        <v>56</v>
      </c>
    </row>
    <row r="103" spans="1:20" x14ac:dyDescent="0.2">
      <c r="A103" s="45">
        <v>99</v>
      </c>
      <c r="B103" s="84" t="s">
        <v>361</v>
      </c>
      <c r="C103" s="46" t="s">
        <v>362</v>
      </c>
      <c r="D103" s="158" t="s">
        <v>363</v>
      </c>
      <c r="E103" s="74">
        <v>850</v>
      </c>
      <c r="F103" s="52">
        <f t="shared" si="15"/>
        <v>850</v>
      </c>
      <c r="G103" s="50">
        <f t="shared" si="13"/>
        <v>63.75</v>
      </c>
      <c r="H103" s="50">
        <f t="shared" si="14"/>
        <v>121.12499999999999</v>
      </c>
      <c r="I103" s="51">
        <f t="shared" si="9"/>
        <v>5</v>
      </c>
      <c r="J103" s="52"/>
      <c r="K103" s="52">
        <v>0</v>
      </c>
      <c r="L103" s="53"/>
      <c r="M103" s="54">
        <f t="shared" si="11"/>
        <v>781.25</v>
      </c>
      <c r="N103" s="55">
        <f t="shared" si="10"/>
        <v>971.125</v>
      </c>
      <c r="O103" s="33" t="s">
        <v>353</v>
      </c>
      <c r="P103" s="84" t="s">
        <v>361</v>
      </c>
      <c r="Q103" s="92" t="s">
        <v>362</v>
      </c>
      <c r="S103" s="152" t="s">
        <v>462</v>
      </c>
      <c r="T103" s="60" t="s">
        <v>177</v>
      </c>
    </row>
    <row r="104" spans="1:20" x14ac:dyDescent="0.2">
      <c r="A104" s="45">
        <v>100</v>
      </c>
      <c r="B104" s="84" t="s">
        <v>369</v>
      </c>
      <c r="C104" s="46" t="s">
        <v>370</v>
      </c>
      <c r="D104" s="158" t="s">
        <v>371</v>
      </c>
      <c r="E104" s="74">
        <v>1525</v>
      </c>
      <c r="F104" s="52">
        <f>E104/31*31</f>
        <v>1525</v>
      </c>
      <c r="G104" s="50">
        <f t="shared" si="13"/>
        <v>114.375</v>
      </c>
      <c r="H104" s="50">
        <f t="shared" si="14"/>
        <v>217.31249999999997</v>
      </c>
      <c r="I104" s="51">
        <f t="shared" si="9"/>
        <v>1.25</v>
      </c>
      <c r="J104" s="52"/>
      <c r="K104" s="52">
        <v>0</v>
      </c>
      <c r="L104" s="53"/>
      <c r="M104" s="54">
        <f t="shared" si="11"/>
        <v>1409.375</v>
      </c>
      <c r="N104" s="55">
        <f t="shared" si="10"/>
        <v>1742.3125</v>
      </c>
      <c r="O104" s="33" t="s">
        <v>69</v>
      </c>
      <c r="P104" s="84" t="s">
        <v>369</v>
      </c>
      <c r="Q104" s="92" t="s">
        <v>370</v>
      </c>
      <c r="S104" s="62">
        <v>329111</v>
      </c>
      <c r="T104" s="153" t="s">
        <v>56</v>
      </c>
    </row>
    <row r="105" spans="1:20" x14ac:dyDescent="0.2">
      <c r="A105" s="45">
        <v>101</v>
      </c>
      <c r="B105" s="84" t="s">
        <v>372</v>
      </c>
      <c r="C105" s="46" t="s">
        <v>373</v>
      </c>
      <c r="D105" s="158" t="s">
        <v>374</v>
      </c>
      <c r="E105" s="74">
        <v>1400</v>
      </c>
      <c r="F105" s="52">
        <f>E105/31*31</f>
        <v>1400</v>
      </c>
      <c r="G105" s="50">
        <f t="shared" si="13"/>
        <v>105</v>
      </c>
      <c r="H105" s="50">
        <f t="shared" si="14"/>
        <v>199.49999999999997</v>
      </c>
      <c r="I105" s="51">
        <f t="shared" si="9"/>
        <v>0</v>
      </c>
      <c r="J105" s="52"/>
      <c r="K105" s="52">
        <v>0</v>
      </c>
      <c r="L105" s="53"/>
      <c r="M105" s="54">
        <f t="shared" si="11"/>
        <v>1295</v>
      </c>
      <c r="N105" s="55">
        <f t="shared" si="10"/>
        <v>1599.5</v>
      </c>
      <c r="O105" s="33" t="s">
        <v>69</v>
      </c>
      <c r="P105" s="84" t="s">
        <v>372</v>
      </c>
      <c r="Q105" s="92" t="s">
        <v>373</v>
      </c>
      <c r="S105" s="62">
        <v>121111</v>
      </c>
      <c r="T105" s="153" t="s">
        <v>110</v>
      </c>
    </row>
    <row r="106" spans="1:20" x14ac:dyDescent="0.2">
      <c r="A106" s="45">
        <v>102</v>
      </c>
      <c r="B106" s="84" t="s">
        <v>375</v>
      </c>
      <c r="C106" s="46" t="s">
        <v>376</v>
      </c>
      <c r="D106" s="158" t="s">
        <v>377</v>
      </c>
      <c r="E106" s="74">
        <v>1210</v>
      </c>
      <c r="F106" s="52">
        <f>E106/31*31</f>
        <v>1210</v>
      </c>
      <c r="G106" s="50">
        <f t="shared" si="13"/>
        <v>90.75</v>
      </c>
      <c r="H106" s="50">
        <f t="shared" si="14"/>
        <v>172.42499999999998</v>
      </c>
      <c r="I106" s="51">
        <f t="shared" si="9"/>
        <v>0</v>
      </c>
      <c r="J106" s="52"/>
      <c r="K106" s="52">
        <v>0</v>
      </c>
      <c r="L106" s="53"/>
      <c r="M106" s="54">
        <f t="shared" si="11"/>
        <v>1119.25</v>
      </c>
      <c r="N106" s="55">
        <f t="shared" si="10"/>
        <v>1382.425</v>
      </c>
      <c r="O106" s="33" t="s">
        <v>69</v>
      </c>
      <c r="P106" s="84" t="s">
        <v>375</v>
      </c>
      <c r="Q106" s="92" t="s">
        <v>376</v>
      </c>
      <c r="S106" s="62" t="s">
        <v>358</v>
      </c>
      <c r="T106" s="72" t="s">
        <v>56</v>
      </c>
    </row>
    <row r="107" spans="1:20" x14ac:dyDescent="0.2">
      <c r="A107" s="45">
        <v>103</v>
      </c>
      <c r="B107" s="84" t="s">
        <v>378</v>
      </c>
      <c r="C107" s="46" t="s">
        <v>379</v>
      </c>
      <c r="D107" s="158" t="s">
        <v>380</v>
      </c>
      <c r="E107" s="74">
        <v>570</v>
      </c>
      <c r="F107" s="52">
        <f>E107/31*31</f>
        <v>570</v>
      </c>
      <c r="G107" s="50">
        <f t="shared" si="13"/>
        <v>42.75</v>
      </c>
      <c r="H107" s="50">
        <f t="shared" si="14"/>
        <v>81.224999999999994</v>
      </c>
      <c r="I107" s="51">
        <f t="shared" si="9"/>
        <v>0</v>
      </c>
      <c r="J107" s="52"/>
      <c r="K107" s="52">
        <v>0</v>
      </c>
      <c r="L107" s="53"/>
      <c r="M107" s="54">
        <f t="shared" si="11"/>
        <v>527.25</v>
      </c>
      <c r="N107" s="55">
        <f t="shared" si="10"/>
        <v>651.22500000000002</v>
      </c>
      <c r="O107" s="33" t="s">
        <v>54</v>
      </c>
      <c r="P107" s="84" t="s">
        <v>378</v>
      </c>
      <c r="Q107" s="92" t="s">
        <v>379</v>
      </c>
      <c r="S107" s="62">
        <v>329111</v>
      </c>
      <c r="T107" s="60" t="s">
        <v>56</v>
      </c>
    </row>
    <row r="108" spans="1:20" x14ac:dyDescent="0.2">
      <c r="A108" s="45">
        <v>104</v>
      </c>
      <c r="B108" s="84" t="s">
        <v>381</v>
      </c>
      <c r="C108" s="46" t="s">
        <v>382</v>
      </c>
      <c r="D108" s="158" t="s">
        <v>507</v>
      </c>
      <c r="E108" s="165">
        <v>355</v>
      </c>
      <c r="F108" s="166">
        <f>(320/31*5)+(355/31*26)</f>
        <v>349.35483870967744</v>
      </c>
      <c r="G108" s="166">
        <f>320*0.075</f>
        <v>24</v>
      </c>
      <c r="H108" s="166">
        <f>320*0.1425</f>
        <v>45.599999999999994</v>
      </c>
      <c r="I108" s="167">
        <f t="shared" si="9"/>
        <v>0</v>
      </c>
      <c r="J108" s="52"/>
      <c r="K108" s="52">
        <v>0</v>
      </c>
      <c r="L108" s="53"/>
      <c r="M108" s="54">
        <f t="shared" si="11"/>
        <v>325.35483870967744</v>
      </c>
      <c r="N108" s="55">
        <f t="shared" si="10"/>
        <v>394.95483870967746</v>
      </c>
      <c r="O108" s="33" t="s">
        <v>353</v>
      </c>
      <c r="P108" s="84" t="s">
        <v>381</v>
      </c>
      <c r="Q108" s="92" t="s">
        <v>382</v>
      </c>
      <c r="S108" s="58">
        <v>329111</v>
      </c>
      <c r="T108" s="60" t="s">
        <v>56</v>
      </c>
    </row>
    <row r="109" spans="1:20" x14ac:dyDescent="0.2">
      <c r="A109" s="45">
        <v>105</v>
      </c>
      <c r="B109" s="84" t="s">
        <v>384</v>
      </c>
      <c r="C109" s="46" t="s">
        <v>385</v>
      </c>
      <c r="D109" s="158" t="s">
        <v>386</v>
      </c>
      <c r="E109" s="130">
        <v>550</v>
      </c>
      <c r="F109" s="131">
        <f>550/31*31</f>
        <v>550</v>
      </c>
      <c r="G109" s="132">
        <f t="shared" si="13"/>
        <v>41.25</v>
      </c>
      <c r="H109" s="132">
        <f t="shared" si="14"/>
        <v>78.375</v>
      </c>
      <c r="I109" s="51">
        <f t="shared" si="9"/>
        <v>0</v>
      </c>
      <c r="J109" s="131"/>
      <c r="K109" s="52">
        <v>0</v>
      </c>
      <c r="L109" s="133"/>
      <c r="M109" s="54">
        <f t="shared" si="11"/>
        <v>508.75</v>
      </c>
      <c r="N109" s="134">
        <f t="shared" si="10"/>
        <v>628.375</v>
      </c>
      <c r="O109" s="33" t="s">
        <v>353</v>
      </c>
      <c r="P109" s="84" t="s">
        <v>384</v>
      </c>
      <c r="Q109" s="92" t="s">
        <v>385</v>
      </c>
      <c r="S109" s="62">
        <v>121111</v>
      </c>
      <c r="T109" s="153" t="s">
        <v>110</v>
      </c>
    </row>
    <row r="110" spans="1:20" x14ac:dyDescent="0.2">
      <c r="A110" s="45">
        <v>106</v>
      </c>
      <c r="B110" s="84" t="s">
        <v>387</v>
      </c>
      <c r="C110" s="46" t="s">
        <v>388</v>
      </c>
      <c r="D110" s="158" t="s">
        <v>508</v>
      </c>
      <c r="E110" s="165">
        <v>355</v>
      </c>
      <c r="F110" s="165">
        <f>(320/31*13)+(355/31*18)</f>
        <v>340.32258064516128</v>
      </c>
      <c r="G110" s="165">
        <f>320*0.075</f>
        <v>24</v>
      </c>
      <c r="H110" s="165">
        <f>320*0.1425</f>
        <v>45.599999999999994</v>
      </c>
      <c r="I110" s="165">
        <f t="shared" si="9"/>
        <v>0</v>
      </c>
      <c r="J110" s="52"/>
      <c r="K110" s="52">
        <v>0</v>
      </c>
      <c r="L110" s="52"/>
      <c r="M110" s="54">
        <f t="shared" si="11"/>
        <v>316.32258064516128</v>
      </c>
      <c r="N110" s="50">
        <f t="shared" si="10"/>
        <v>385.92258064516125</v>
      </c>
      <c r="O110" s="66" t="s">
        <v>353</v>
      </c>
      <c r="P110" s="135" t="s">
        <v>387</v>
      </c>
      <c r="Q110" s="67" t="s">
        <v>388</v>
      </c>
      <c r="S110" s="62">
        <v>329111</v>
      </c>
      <c r="T110" s="153" t="s">
        <v>56</v>
      </c>
    </row>
    <row r="111" spans="1:20" x14ac:dyDescent="0.2">
      <c r="A111" s="45">
        <v>107</v>
      </c>
      <c r="B111" s="84" t="s">
        <v>390</v>
      </c>
      <c r="C111" s="46" t="s">
        <v>391</v>
      </c>
      <c r="D111" s="158" t="s">
        <v>392</v>
      </c>
      <c r="E111" s="50">
        <v>780</v>
      </c>
      <c r="F111" s="52">
        <f t="shared" ref="F111" si="16">E111/31*31</f>
        <v>780</v>
      </c>
      <c r="G111" s="50">
        <f t="shared" si="13"/>
        <v>58.5</v>
      </c>
      <c r="H111" s="50">
        <f t="shared" si="14"/>
        <v>111.14999999999999</v>
      </c>
      <c r="I111" s="51">
        <f t="shared" si="9"/>
        <v>1.5</v>
      </c>
      <c r="J111" s="52"/>
      <c r="K111" s="52">
        <v>0</v>
      </c>
      <c r="L111" s="52"/>
      <c r="M111" s="54">
        <f t="shared" si="11"/>
        <v>720</v>
      </c>
      <c r="N111" s="50">
        <f>F111+H111</f>
        <v>891.15</v>
      </c>
      <c r="O111" s="66" t="s">
        <v>353</v>
      </c>
      <c r="P111" s="135" t="s">
        <v>390</v>
      </c>
      <c r="Q111" s="67" t="s">
        <v>391</v>
      </c>
      <c r="S111" s="62">
        <v>139111</v>
      </c>
      <c r="T111" s="154" t="s">
        <v>463</v>
      </c>
    </row>
    <row r="112" spans="1:20" x14ac:dyDescent="0.2">
      <c r="A112" s="45">
        <v>108</v>
      </c>
      <c r="B112" s="84" t="s">
        <v>419</v>
      </c>
      <c r="C112" s="46" t="s">
        <v>420</v>
      </c>
      <c r="D112" s="158" t="s">
        <v>274</v>
      </c>
      <c r="E112" s="50">
        <v>1065</v>
      </c>
      <c r="F112" s="52">
        <f>E112/30*30</f>
        <v>1065</v>
      </c>
      <c r="G112" s="50">
        <f t="shared" si="13"/>
        <v>79.875</v>
      </c>
      <c r="H112" s="50">
        <f t="shared" si="14"/>
        <v>151.76249999999999</v>
      </c>
      <c r="I112" s="51">
        <f t="shared" si="9"/>
        <v>15.75</v>
      </c>
      <c r="J112" s="52"/>
      <c r="K112" s="52">
        <v>0</v>
      </c>
      <c r="L112" s="52"/>
      <c r="M112" s="54">
        <f t="shared" si="11"/>
        <v>969.375</v>
      </c>
      <c r="N112" s="50">
        <f t="shared" ref="N112:N134" si="17">F112+H112</f>
        <v>1216.7625</v>
      </c>
      <c r="O112" s="66" t="s">
        <v>353</v>
      </c>
      <c r="P112" s="84" t="s">
        <v>419</v>
      </c>
      <c r="Q112" s="108" t="s">
        <v>420</v>
      </c>
      <c r="S112" s="62" t="s">
        <v>358</v>
      </c>
      <c r="T112" s="153" t="s">
        <v>56</v>
      </c>
    </row>
    <row r="113" spans="1:20" x14ac:dyDescent="0.2">
      <c r="A113" s="45">
        <v>109</v>
      </c>
      <c r="B113" s="84" t="s">
        <v>421</v>
      </c>
      <c r="C113" s="46" t="s">
        <v>422</v>
      </c>
      <c r="D113" s="158" t="s">
        <v>423</v>
      </c>
      <c r="E113" s="50">
        <v>3650</v>
      </c>
      <c r="F113" s="52">
        <f t="shared" ref="F113:F117" si="18">E113/30*30</f>
        <v>3650</v>
      </c>
      <c r="G113" s="50">
        <f t="shared" si="13"/>
        <v>273.75</v>
      </c>
      <c r="H113" s="50">
        <f t="shared" si="14"/>
        <v>520.125</v>
      </c>
      <c r="I113" s="51">
        <f t="shared" si="9"/>
        <v>329.16666666666669</v>
      </c>
      <c r="J113" s="52"/>
      <c r="K113" s="52">
        <v>0</v>
      </c>
      <c r="L113" s="52"/>
      <c r="M113" s="54">
        <f t="shared" si="11"/>
        <v>3047.083333333333</v>
      </c>
      <c r="N113" s="50">
        <f t="shared" si="17"/>
        <v>4170.125</v>
      </c>
      <c r="O113" s="66" t="s">
        <v>345</v>
      </c>
      <c r="P113" s="84" t="s">
        <v>421</v>
      </c>
      <c r="Q113" s="108" t="s">
        <v>422</v>
      </c>
      <c r="S113" s="62">
        <v>329421</v>
      </c>
      <c r="T113" s="153" t="s">
        <v>56</v>
      </c>
    </row>
    <row r="114" spans="1:20" x14ac:dyDescent="0.2">
      <c r="A114" s="45">
        <v>110</v>
      </c>
      <c r="B114" s="84" t="s">
        <v>424</v>
      </c>
      <c r="C114" s="144" t="s">
        <v>425</v>
      </c>
      <c r="D114" s="158" t="s">
        <v>426</v>
      </c>
      <c r="E114" s="132">
        <v>1560</v>
      </c>
      <c r="F114" s="131">
        <f t="shared" si="18"/>
        <v>1560</v>
      </c>
      <c r="G114" s="132">
        <f>1560*0.075</f>
        <v>117</v>
      </c>
      <c r="H114" s="132">
        <f>1560*0.1425</f>
        <v>222.29999999999998</v>
      </c>
      <c r="I114" s="51">
        <f t="shared" si="9"/>
        <v>60.166666666666664</v>
      </c>
      <c r="J114" s="131"/>
      <c r="K114" s="131">
        <v>0</v>
      </c>
      <c r="L114" s="131"/>
      <c r="M114" s="54">
        <f t="shared" si="11"/>
        <v>1382.8333333333333</v>
      </c>
      <c r="N114" s="132">
        <f t="shared" si="17"/>
        <v>1782.3</v>
      </c>
      <c r="O114" s="157" t="s">
        <v>353</v>
      </c>
      <c r="P114" s="84" t="s">
        <v>424</v>
      </c>
      <c r="Q114" s="108" t="s">
        <v>425</v>
      </c>
      <c r="S114" s="62">
        <v>318462</v>
      </c>
      <c r="T114" s="153" t="s">
        <v>324</v>
      </c>
    </row>
    <row r="115" spans="1:20" x14ac:dyDescent="0.2">
      <c r="A115" s="45">
        <v>111</v>
      </c>
      <c r="B115" s="135" t="s">
        <v>427</v>
      </c>
      <c r="C115" s="46" t="s">
        <v>428</v>
      </c>
      <c r="D115" s="158" t="s">
        <v>429</v>
      </c>
      <c r="E115" s="50">
        <v>995</v>
      </c>
      <c r="F115" s="52">
        <f t="shared" si="18"/>
        <v>994.99999999999989</v>
      </c>
      <c r="G115" s="50">
        <f>995*0.075</f>
        <v>74.625</v>
      </c>
      <c r="H115" s="50">
        <f>995*0.1425</f>
        <v>141.78749999999999</v>
      </c>
      <c r="I115" s="51">
        <f t="shared" si="9"/>
        <v>12.249999999999993</v>
      </c>
      <c r="J115" s="52"/>
      <c r="K115" s="52">
        <v>0</v>
      </c>
      <c r="L115" s="52"/>
      <c r="M115" s="54">
        <f t="shared" si="11"/>
        <v>908.12499999999989</v>
      </c>
      <c r="N115" s="50">
        <f t="shared" si="17"/>
        <v>1136.7874999999999</v>
      </c>
      <c r="O115" s="66" t="s">
        <v>353</v>
      </c>
      <c r="P115" s="135" t="s">
        <v>427</v>
      </c>
      <c r="Q115" s="67" t="s">
        <v>428</v>
      </c>
      <c r="S115" s="62">
        <v>329111</v>
      </c>
      <c r="T115" s="153" t="s">
        <v>56</v>
      </c>
    </row>
    <row r="116" spans="1:20" x14ac:dyDescent="0.2">
      <c r="A116" s="45">
        <v>112</v>
      </c>
      <c r="B116" s="135" t="s">
        <v>433</v>
      </c>
      <c r="C116" s="46" t="s">
        <v>434</v>
      </c>
      <c r="D116" s="158" t="s">
        <v>435</v>
      </c>
      <c r="E116" s="50">
        <v>1210</v>
      </c>
      <c r="F116" s="52">
        <f t="shared" si="18"/>
        <v>1210</v>
      </c>
      <c r="G116" s="50">
        <f>E116*0.075</f>
        <v>90.75</v>
      </c>
      <c r="H116" s="50">
        <f t="shared" ref="H116:H134" si="19">E116*0.1425</f>
        <v>172.42499999999998</v>
      </c>
      <c r="I116" s="51">
        <f t="shared" si="9"/>
        <v>25.166666666666668</v>
      </c>
      <c r="J116" s="52"/>
      <c r="K116" s="52">
        <v>0</v>
      </c>
      <c r="L116" s="52"/>
      <c r="M116" s="54">
        <f t="shared" si="11"/>
        <v>1094.0833333333333</v>
      </c>
      <c r="N116" s="50">
        <f t="shared" si="17"/>
        <v>1382.425</v>
      </c>
      <c r="O116" s="66" t="s">
        <v>353</v>
      </c>
      <c r="P116" s="135" t="s">
        <v>433</v>
      </c>
      <c r="Q116" s="67" t="s">
        <v>434</v>
      </c>
      <c r="S116" s="62" t="s">
        <v>358</v>
      </c>
      <c r="T116" s="153" t="s">
        <v>56</v>
      </c>
    </row>
    <row r="117" spans="1:20" x14ac:dyDescent="0.2">
      <c r="A117" s="45">
        <v>113</v>
      </c>
      <c r="B117" s="135" t="s">
        <v>437</v>
      </c>
      <c r="C117" s="46" t="s">
        <v>438</v>
      </c>
      <c r="D117" s="158" t="s">
        <v>439</v>
      </c>
      <c r="E117" s="50">
        <v>850</v>
      </c>
      <c r="F117" s="52">
        <f t="shared" si="18"/>
        <v>850</v>
      </c>
      <c r="G117" s="50">
        <f>E117*0.075</f>
        <v>63.75</v>
      </c>
      <c r="H117" s="50">
        <f t="shared" si="19"/>
        <v>121.12499999999999</v>
      </c>
      <c r="I117" s="51">
        <f t="shared" si="9"/>
        <v>5</v>
      </c>
      <c r="J117" s="52"/>
      <c r="K117" s="52">
        <v>0</v>
      </c>
      <c r="L117" s="52"/>
      <c r="M117" s="54">
        <f t="shared" si="11"/>
        <v>781.25</v>
      </c>
      <c r="N117" s="50">
        <f t="shared" si="17"/>
        <v>971.125</v>
      </c>
      <c r="O117" s="66" t="s">
        <v>353</v>
      </c>
      <c r="P117" s="135" t="s">
        <v>437</v>
      </c>
      <c r="Q117" s="67" t="s">
        <v>438</v>
      </c>
      <c r="S117" s="62">
        <v>329111</v>
      </c>
      <c r="T117" s="153" t="s">
        <v>56</v>
      </c>
    </row>
    <row r="118" spans="1:20" x14ac:dyDescent="0.2">
      <c r="A118" s="45">
        <v>114</v>
      </c>
      <c r="B118" s="135" t="s">
        <v>464</v>
      </c>
      <c r="C118" s="46" t="s">
        <v>465</v>
      </c>
      <c r="D118" s="158" t="s">
        <v>466</v>
      </c>
      <c r="E118" s="50">
        <v>1065</v>
      </c>
      <c r="F118" s="52">
        <f>E118/31*31</f>
        <v>1065</v>
      </c>
      <c r="G118" s="50">
        <f>E118*0.075</f>
        <v>79.875</v>
      </c>
      <c r="H118" s="50">
        <f t="shared" si="19"/>
        <v>151.76249999999999</v>
      </c>
      <c r="I118" s="51">
        <f t="shared" si="9"/>
        <v>0</v>
      </c>
      <c r="J118" s="52"/>
      <c r="K118" s="52"/>
      <c r="L118" s="52"/>
      <c r="M118" s="54">
        <f t="shared" si="11"/>
        <v>985.125</v>
      </c>
      <c r="N118" s="50">
        <f t="shared" si="17"/>
        <v>1216.7625</v>
      </c>
      <c r="O118" s="66" t="s">
        <v>69</v>
      </c>
      <c r="P118" s="135" t="s">
        <v>464</v>
      </c>
      <c r="Q118" s="67" t="s">
        <v>465</v>
      </c>
      <c r="S118" s="62" t="s">
        <v>358</v>
      </c>
      <c r="T118" s="153" t="s">
        <v>56</v>
      </c>
    </row>
    <row r="119" spans="1:20" x14ac:dyDescent="0.2">
      <c r="A119" s="45">
        <v>115</v>
      </c>
      <c r="B119" s="135" t="s">
        <v>467</v>
      </c>
      <c r="C119" s="46" t="s">
        <v>468</v>
      </c>
      <c r="D119" s="158" t="s">
        <v>469</v>
      </c>
      <c r="E119" s="50">
        <v>1630</v>
      </c>
      <c r="F119" s="52">
        <f>E119/31*31</f>
        <v>1630</v>
      </c>
      <c r="G119" s="50">
        <f t="shared" ref="G119:G130" si="20">E119*0.075</f>
        <v>122.25</v>
      </c>
      <c r="H119" s="50">
        <f t="shared" si="19"/>
        <v>232.27499999999998</v>
      </c>
      <c r="I119" s="51">
        <f t="shared" si="9"/>
        <v>69.5</v>
      </c>
      <c r="J119" s="52"/>
      <c r="K119" s="52"/>
      <c r="L119" s="52"/>
      <c r="M119" s="54">
        <f t="shared" si="11"/>
        <v>1438.25</v>
      </c>
      <c r="N119" s="50">
        <f t="shared" si="17"/>
        <v>1862.2750000000001</v>
      </c>
      <c r="O119" s="66" t="s">
        <v>54</v>
      </c>
      <c r="P119" s="135" t="s">
        <v>467</v>
      </c>
      <c r="Q119" s="67" t="s">
        <v>468</v>
      </c>
      <c r="S119" s="122">
        <v>318411</v>
      </c>
      <c r="T119" s="155" t="s">
        <v>138</v>
      </c>
    </row>
    <row r="120" spans="1:20" x14ac:dyDescent="0.2">
      <c r="A120" s="45">
        <v>116</v>
      </c>
      <c r="B120" s="135" t="s">
        <v>470</v>
      </c>
      <c r="C120" s="46" t="s">
        <v>471</v>
      </c>
      <c r="D120" s="158" t="s">
        <v>219</v>
      </c>
      <c r="E120" s="50">
        <v>1135</v>
      </c>
      <c r="F120" s="52">
        <f t="shared" ref="F120:F131" si="21">E120/31*31</f>
        <v>1135</v>
      </c>
      <c r="G120" s="50">
        <f t="shared" si="20"/>
        <v>85.125</v>
      </c>
      <c r="H120" s="50">
        <f t="shared" si="19"/>
        <v>161.73749999999998</v>
      </c>
      <c r="I120" s="51">
        <f t="shared" si="9"/>
        <v>19.25</v>
      </c>
      <c r="J120" s="52"/>
      <c r="K120" s="52"/>
      <c r="L120" s="52"/>
      <c r="M120" s="54">
        <f t="shared" si="11"/>
        <v>1030.625</v>
      </c>
      <c r="N120" s="50">
        <f t="shared" si="17"/>
        <v>1296.7375</v>
      </c>
      <c r="O120" s="66" t="s">
        <v>54</v>
      </c>
      <c r="P120" s="135" t="s">
        <v>470</v>
      </c>
      <c r="Q120" s="67" t="s">
        <v>471</v>
      </c>
      <c r="S120" s="62" t="s">
        <v>358</v>
      </c>
      <c r="T120" s="153" t="s">
        <v>56</v>
      </c>
    </row>
    <row r="121" spans="1:20" x14ac:dyDescent="0.2">
      <c r="A121" s="45">
        <v>117</v>
      </c>
      <c r="B121" s="135" t="s">
        <v>472</v>
      </c>
      <c r="C121" s="46" t="s">
        <v>473</v>
      </c>
      <c r="D121" s="158" t="s">
        <v>474</v>
      </c>
      <c r="E121" s="50">
        <v>320</v>
      </c>
      <c r="F121" s="52">
        <f t="shared" si="21"/>
        <v>320</v>
      </c>
      <c r="G121" s="50">
        <f t="shared" si="20"/>
        <v>24</v>
      </c>
      <c r="H121" s="50">
        <f t="shared" si="19"/>
        <v>45.599999999999994</v>
      </c>
      <c r="I121" s="51">
        <f t="shared" si="9"/>
        <v>0</v>
      </c>
      <c r="J121" s="52"/>
      <c r="K121" s="52"/>
      <c r="L121" s="52"/>
      <c r="M121" s="54">
        <f t="shared" si="11"/>
        <v>296</v>
      </c>
      <c r="N121" s="50">
        <f t="shared" si="17"/>
        <v>365.6</v>
      </c>
      <c r="O121" s="66" t="s">
        <v>54</v>
      </c>
      <c r="P121" s="135" t="s">
        <v>472</v>
      </c>
      <c r="Q121" s="67" t="s">
        <v>473</v>
      </c>
      <c r="S121" s="62">
        <v>329111</v>
      </c>
      <c r="T121" s="153" t="s">
        <v>56</v>
      </c>
    </row>
    <row r="122" spans="1:20" x14ac:dyDescent="0.2">
      <c r="A122" s="45">
        <v>118</v>
      </c>
      <c r="B122" s="135" t="s">
        <v>477</v>
      </c>
      <c r="C122" s="46" t="s">
        <v>478</v>
      </c>
      <c r="D122" s="158" t="s">
        <v>474</v>
      </c>
      <c r="E122" s="50">
        <v>320</v>
      </c>
      <c r="F122" s="52">
        <f t="shared" si="21"/>
        <v>320</v>
      </c>
      <c r="G122" s="50">
        <f t="shared" si="20"/>
        <v>24</v>
      </c>
      <c r="H122" s="50">
        <f t="shared" si="19"/>
        <v>45.599999999999994</v>
      </c>
      <c r="I122" s="51">
        <f t="shared" si="9"/>
        <v>0</v>
      </c>
      <c r="J122" s="52"/>
      <c r="K122" s="52"/>
      <c r="L122" s="52"/>
      <c r="M122" s="54">
        <f t="shared" si="11"/>
        <v>296</v>
      </c>
      <c r="N122" s="50">
        <f t="shared" si="17"/>
        <v>365.6</v>
      </c>
      <c r="O122" s="66" t="s">
        <v>54</v>
      </c>
      <c r="P122" s="135" t="s">
        <v>477</v>
      </c>
      <c r="Q122" s="67" t="s">
        <v>478</v>
      </c>
      <c r="S122" s="62">
        <v>329111</v>
      </c>
      <c r="T122" s="153" t="s">
        <v>56</v>
      </c>
    </row>
    <row r="123" spans="1:20" x14ac:dyDescent="0.2">
      <c r="A123" s="45">
        <v>119</v>
      </c>
      <c r="B123" s="135" t="s">
        <v>479</v>
      </c>
      <c r="C123" s="46" t="s">
        <v>480</v>
      </c>
      <c r="D123" s="158" t="s">
        <v>481</v>
      </c>
      <c r="E123" s="50">
        <v>2130</v>
      </c>
      <c r="F123" s="52">
        <f t="shared" si="21"/>
        <v>2130</v>
      </c>
      <c r="G123" s="50">
        <f t="shared" si="20"/>
        <v>159.75</v>
      </c>
      <c r="H123" s="50">
        <f>E123*0.1425</f>
        <v>303.52499999999998</v>
      </c>
      <c r="I123" s="51">
        <f t="shared" si="9"/>
        <v>151</v>
      </c>
      <c r="J123" s="52"/>
      <c r="K123" s="52"/>
      <c r="L123" s="52"/>
      <c r="M123" s="54">
        <f t="shared" si="11"/>
        <v>1819.25</v>
      </c>
      <c r="N123" s="50">
        <f t="shared" si="17"/>
        <v>2433.5250000000001</v>
      </c>
      <c r="O123" s="66" t="s">
        <v>54</v>
      </c>
      <c r="P123" s="135" t="s">
        <v>479</v>
      </c>
      <c r="Q123" s="67" t="s">
        <v>480</v>
      </c>
      <c r="S123" s="62">
        <v>318411</v>
      </c>
      <c r="T123" s="153" t="s">
        <v>138</v>
      </c>
    </row>
    <row r="124" spans="1:20" x14ac:dyDescent="0.2">
      <c r="A124" s="45">
        <v>120</v>
      </c>
      <c r="B124" s="135" t="s">
        <v>482</v>
      </c>
      <c r="C124" s="46" t="s">
        <v>483</v>
      </c>
      <c r="D124" s="158" t="s">
        <v>484</v>
      </c>
      <c r="E124" s="50">
        <v>1065</v>
      </c>
      <c r="F124" s="52">
        <f t="shared" si="21"/>
        <v>1065</v>
      </c>
      <c r="G124" s="50">
        <f t="shared" si="20"/>
        <v>79.875</v>
      </c>
      <c r="H124" s="50">
        <f t="shared" si="19"/>
        <v>151.76249999999999</v>
      </c>
      <c r="I124" s="51">
        <f t="shared" si="9"/>
        <v>15.75</v>
      </c>
      <c r="J124" s="52"/>
      <c r="K124" s="52"/>
      <c r="L124" s="52"/>
      <c r="M124" s="54">
        <f t="shared" si="11"/>
        <v>969.375</v>
      </c>
      <c r="N124" s="50">
        <f t="shared" si="17"/>
        <v>1216.7625</v>
      </c>
      <c r="O124" s="66" t="s">
        <v>353</v>
      </c>
      <c r="P124" s="135" t="s">
        <v>482</v>
      </c>
      <c r="Q124" s="67" t="s">
        <v>483</v>
      </c>
      <c r="S124" s="62">
        <v>327111</v>
      </c>
      <c r="T124" s="153" t="s">
        <v>56</v>
      </c>
    </row>
    <row r="125" spans="1:20" x14ac:dyDescent="0.2">
      <c r="A125" s="45">
        <v>121</v>
      </c>
      <c r="B125" s="135" t="s">
        <v>485</v>
      </c>
      <c r="C125" s="46" t="s">
        <v>486</v>
      </c>
      <c r="D125" s="158" t="s">
        <v>487</v>
      </c>
      <c r="E125" s="50">
        <v>1100</v>
      </c>
      <c r="F125" s="52">
        <f t="shared" si="21"/>
        <v>1100</v>
      </c>
      <c r="G125" s="50">
        <f t="shared" si="20"/>
        <v>82.5</v>
      </c>
      <c r="H125" s="50">
        <f t="shared" si="19"/>
        <v>156.75</v>
      </c>
      <c r="I125" s="51">
        <f t="shared" si="9"/>
        <v>17.5</v>
      </c>
      <c r="J125" s="52"/>
      <c r="K125" s="52"/>
      <c r="L125" s="52"/>
      <c r="M125" s="54">
        <f t="shared" si="11"/>
        <v>1000</v>
      </c>
      <c r="N125" s="50">
        <f t="shared" si="17"/>
        <v>1256.75</v>
      </c>
      <c r="O125" s="66" t="s">
        <v>54</v>
      </c>
      <c r="P125" s="135" t="s">
        <v>485</v>
      </c>
      <c r="Q125" s="67" t="s">
        <v>486</v>
      </c>
      <c r="S125" s="62" t="s">
        <v>358</v>
      </c>
      <c r="T125" s="153" t="s">
        <v>56</v>
      </c>
    </row>
    <row r="126" spans="1:20" x14ac:dyDescent="0.2">
      <c r="A126" s="45">
        <v>122</v>
      </c>
      <c r="B126" s="135" t="s">
        <v>488</v>
      </c>
      <c r="C126" s="46" t="s">
        <v>489</v>
      </c>
      <c r="D126" s="158" t="s">
        <v>490</v>
      </c>
      <c r="E126" s="50">
        <v>1990</v>
      </c>
      <c r="F126" s="52">
        <f t="shared" si="21"/>
        <v>1989.9999999999998</v>
      </c>
      <c r="G126" s="50">
        <f t="shared" si="20"/>
        <v>149.25</v>
      </c>
      <c r="H126" s="50">
        <f t="shared" si="19"/>
        <v>283.57499999999999</v>
      </c>
      <c r="I126" s="51">
        <f t="shared" si="9"/>
        <v>28.166666666666639</v>
      </c>
      <c r="J126" s="52"/>
      <c r="K126" s="52"/>
      <c r="L126" s="52"/>
      <c r="M126" s="54">
        <f t="shared" si="11"/>
        <v>1812.583333333333</v>
      </c>
      <c r="N126" s="50">
        <f t="shared" si="17"/>
        <v>2273.5749999999998</v>
      </c>
      <c r="O126" s="66" t="s">
        <v>69</v>
      </c>
      <c r="P126" s="135" t="s">
        <v>488</v>
      </c>
      <c r="Q126" s="67" t="s">
        <v>489</v>
      </c>
      <c r="S126" s="62">
        <v>329421</v>
      </c>
      <c r="T126" s="153" t="s">
        <v>56</v>
      </c>
    </row>
    <row r="127" spans="1:20" x14ac:dyDescent="0.2">
      <c r="A127" s="45">
        <v>123</v>
      </c>
      <c r="B127" s="135" t="s">
        <v>491</v>
      </c>
      <c r="C127" s="46" t="s">
        <v>492</v>
      </c>
      <c r="D127" s="158" t="s">
        <v>327</v>
      </c>
      <c r="E127" s="50">
        <v>1705</v>
      </c>
      <c r="F127" s="52">
        <f t="shared" si="21"/>
        <v>1705</v>
      </c>
      <c r="G127" s="50">
        <f t="shared" si="20"/>
        <v>127.875</v>
      </c>
      <c r="H127" s="50">
        <f t="shared" si="19"/>
        <v>242.96249999999998</v>
      </c>
      <c r="I127" s="51">
        <f t="shared" si="9"/>
        <v>80.75</v>
      </c>
      <c r="J127" s="52"/>
      <c r="K127" s="52"/>
      <c r="L127" s="52"/>
      <c r="M127" s="54">
        <f t="shared" si="11"/>
        <v>1496.375</v>
      </c>
      <c r="N127" s="50">
        <f t="shared" si="17"/>
        <v>1947.9625000000001</v>
      </c>
      <c r="O127" s="66" t="s">
        <v>353</v>
      </c>
      <c r="P127" s="135" t="s">
        <v>491</v>
      </c>
      <c r="Q127" s="67" t="s">
        <v>492</v>
      </c>
      <c r="S127" s="62">
        <v>327111</v>
      </c>
      <c r="T127" s="153" t="s">
        <v>56</v>
      </c>
    </row>
    <row r="128" spans="1:20" x14ac:dyDescent="0.2">
      <c r="A128" s="45">
        <v>124</v>
      </c>
      <c r="B128" s="135" t="s">
        <v>493</v>
      </c>
      <c r="C128" s="46" t="s">
        <v>494</v>
      </c>
      <c r="D128" s="158" t="s">
        <v>250</v>
      </c>
      <c r="E128" s="50">
        <v>1135</v>
      </c>
      <c r="F128" s="52">
        <f t="shared" si="21"/>
        <v>1135</v>
      </c>
      <c r="G128" s="50">
        <f t="shared" si="20"/>
        <v>85.125</v>
      </c>
      <c r="H128" s="50">
        <f t="shared" si="19"/>
        <v>161.73749999999998</v>
      </c>
      <c r="I128" s="51">
        <f t="shared" si="9"/>
        <v>19.25</v>
      </c>
      <c r="J128" s="52"/>
      <c r="K128" s="52"/>
      <c r="L128" s="52"/>
      <c r="M128" s="54">
        <f t="shared" si="11"/>
        <v>1030.625</v>
      </c>
      <c r="N128" s="50">
        <f t="shared" si="17"/>
        <v>1296.7375</v>
      </c>
      <c r="O128" s="66" t="s">
        <v>54</v>
      </c>
      <c r="P128" s="135" t="s">
        <v>493</v>
      </c>
      <c r="Q128" s="67" t="s">
        <v>494</v>
      </c>
      <c r="S128" s="62" t="s">
        <v>358</v>
      </c>
      <c r="T128" s="153" t="s">
        <v>56</v>
      </c>
    </row>
    <row r="129" spans="1:20" x14ac:dyDescent="0.2">
      <c r="A129" s="45">
        <v>125</v>
      </c>
      <c r="B129" s="135" t="s">
        <v>495</v>
      </c>
      <c r="C129" s="46" t="s">
        <v>496</v>
      </c>
      <c r="D129" s="158" t="s">
        <v>497</v>
      </c>
      <c r="E129" s="50">
        <v>1490</v>
      </c>
      <c r="F129" s="52">
        <f t="shared" si="21"/>
        <v>1490</v>
      </c>
      <c r="G129" s="50">
        <f t="shared" si="20"/>
        <v>111.75</v>
      </c>
      <c r="H129" s="50">
        <f t="shared" si="19"/>
        <v>212.32499999999999</v>
      </c>
      <c r="I129" s="51">
        <f t="shared" si="9"/>
        <v>53.166666666666664</v>
      </c>
      <c r="J129" s="52"/>
      <c r="K129" s="52"/>
      <c r="L129" s="52"/>
      <c r="M129" s="54">
        <f t="shared" si="11"/>
        <v>1325.0833333333333</v>
      </c>
      <c r="N129" s="50">
        <f t="shared" si="17"/>
        <v>1702.325</v>
      </c>
      <c r="O129" s="66" t="s">
        <v>54</v>
      </c>
      <c r="P129" s="135" t="s">
        <v>495</v>
      </c>
      <c r="Q129" s="67" t="s">
        <v>496</v>
      </c>
      <c r="S129" s="62">
        <v>318242</v>
      </c>
      <c r="T129" s="153" t="s">
        <v>138</v>
      </c>
    </row>
    <row r="130" spans="1:20" x14ac:dyDescent="0.2">
      <c r="A130" s="45">
        <v>126</v>
      </c>
      <c r="B130" s="135" t="s">
        <v>498</v>
      </c>
      <c r="C130" s="46" t="s">
        <v>499</v>
      </c>
      <c r="D130" s="158" t="s">
        <v>500</v>
      </c>
      <c r="E130" s="50">
        <v>320</v>
      </c>
      <c r="F130" s="52">
        <f t="shared" si="21"/>
        <v>320</v>
      </c>
      <c r="G130" s="50">
        <f t="shared" si="20"/>
        <v>24</v>
      </c>
      <c r="H130" s="50">
        <f t="shared" si="19"/>
        <v>45.599999999999994</v>
      </c>
      <c r="I130" s="51">
        <f t="shared" si="9"/>
        <v>0</v>
      </c>
      <c r="J130" s="52"/>
      <c r="K130" s="52"/>
      <c r="L130" s="52"/>
      <c r="M130" s="54">
        <f t="shared" si="11"/>
        <v>296</v>
      </c>
      <c r="N130" s="50">
        <f t="shared" si="17"/>
        <v>365.6</v>
      </c>
      <c r="O130" s="66" t="s">
        <v>54</v>
      </c>
      <c r="P130" s="135" t="s">
        <v>498</v>
      </c>
      <c r="Q130" s="67" t="s">
        <v>499</v>
      </c>
      <c r="S130" s="62">
        <v>329111</v>
      </c>
      <c r="T130" s="153" t="s">
        <v>56</v>
      </c>
    </row>
    <row r="131" spans="1:20" x14ac:dyDescent="0.2">
      <c r="A131" s="45">
        <v>127</v>
      </c>
      <c r="B131" s="135" t="s">
        <v>501</v>
      </c>
      <c r="C131" s="46" t="s">
        <v>502</v>
      </c>
      <c r="D131" s="158" t="s">
        <v>500</v>
      </c>
      <c r="E131" s="50">
        <v>320</v>
      </c>
      <c r="F131" s="52">
        <f t="shared" si="21"/>
        <v>320</v>
      </c>
      <c r="G131" s="50">
        <f>E131*0.075</f>
        <v>24</v>
      </c>
      <c r="H131" s="50">
        <f t="shared" si="19"/>
        <v>45.599999999999994</v>
      </c>
      <c r="I131" s="51">
        <f t="shared" si="9"/>
        <v>0</v>
      </c>
      <c r="J131" s="52"/>
      <c r="K131" s="52"/>
      <c r="L131" s="52"/>
      <c r="M131" s="54">
        <f t="shared" si="11"/>
        <v>296</v>
      </c>
      <c r="N131" s="50">
        <f t="shared" si="17"/>
        <v>365.6</v>
      </c>
      <c r="O131" s="66" t="s">
        <v>54</v>
      </c>
      <c r="P131" s="135" t="s">
        <v>501</v>
      </c>
      <c r="Q131" s="67" t="s">
        <v>502</v>
      </c>
      <c r="S131" s="62">
        <v>329111</v>
      </c>
      <c r="T131" s="153" t="s">
        <v>56</v>
      </c>
    </row>
    <row r="132" spans="1:20" x14ac:dyDescent="0.2">
      <c r="A132" s="45">
        <v>128</v>
      </c>
      <c r="B132" s="135" t="s">
        <v>509</v>
      </c>
      <c r="C132" s="67" t="s">
        <v>510</v>
      </c>
      <c r="D132" s="158" t="s">
        <v>511</v>
      </c>
      <c r="E132" s="50">
        <v>1810</v>
      </c>
      <c r="F132" s="52">
        <f>E132/31*27</f>
        <v>1576.4516129032259</v>
      </c>
      <c r="G132" s="50">
        <f>E132*0.075</f>
        <v>135.75</v>
      </c>
      <c r="H132" s="50">
        <f t="shared" si="19"/>
        <v>257.92499999999995</v>
      </c>
      <c r="I132" s="51">
        <f t="shared" si="9"/>
        <v>61.811827956989269</v>
      </c>
      <c r="J132" s="52"/>
      <c r="K132" s="52"/>
      <c r="L132" s="52"/>
      <c r="M132" s="54">
        <f t="shared" si="11"/>
        <v>1378.8897849462367</v>
      </c>
      <c r="N132" s="50">
        <f t="shared" si="17"/>
        <v>1834.3766129032258</v>
      </c>
      <c r="O132" s="66" t="s">
        <v>353</v>
      </c>
      <c r="P132" s="135" t="s">
        <v>509</v>
      </c>
      <c r="Q132" s="67" t="s">
        <v>510</v>
      </c>
      <c r="S132" s="62" t="s">
        <v>358</v>
      </c>
      <c r="T132" s="153" t="s">
        <v>56</v>
      </c>
    </row>
    <row r="133" spans="1:20" x14ac:dyDescent="0.2">
      <c r="A133" s="45">
        <v>129</v>
      </c>
      <c r="B133" s="135" t="s">
        <v>512</v>
      </c>
      <c r="C133" s="67" t="s">
        <v>513</v>
      </c>
      <c r="D133" s="158" t="s">
        <v>511</v>
      </c>
      <c r="E133" s="50">
        <v>1210</v>
      </c>
      <c r="F133" s="52">
        <f>E133/31*27</f>
        <v>1053.8709677419354</v>
      </c>
      <c r="G133" s="50">
        <f>E133*0.075</f>
        <v>90.75</v>
      </c>
      <c r="H133" s="50">
        <f t="shared" si="19"/>
        <v>172.42499999999998</v>
      </c>
      <c r="I133" s="51">
        <f t="shared" ref="I133:I134" si="22">(IF((O133="No"),(IF((($F133*12)-9000)&lt;0,0,(IF((($F133*12)-9000)&gt;20000,(5000*5%+5000*10%+5000*15%+5000*20%+((($F133*12)-9000)-20000)*25%),IF((($F133*12)-9000)&gt;15000,(5000*5%+5000*10%+5000*15%+((($F133*12)-9000)-15000)*20%),IF((($F133*12)-9000)&gt;10000,(5000*5%+5000*10%+((($F133*12)-9000)-10000)*15%),IF((($F133*12)-9000)&gt;5000,(5000*5%+((($F133*12)-9000)-5000)*10%),IF((($F133*12)-9000)&lt;5000,(($F133*12)-9000)*5%)))))))),((IF((($F133*12)-18000)&lt;0,0,(IF((($F133*12)-18000)&gt;20000,(5000*5%+5000*10%+5000*15%+5000*20%+((($F133*12)-18000)-20000)*25%),IF((($F133*12)-18000)&gt;15000,(5000*5%+5000*10%+5000*15%+((($F133*12)-18000)-15000)*20%),IF((($F133*12)-18000)&gt;10000,(5000*5%+5000*10%+((($F133*12)-18000)-10000)*15%),IF((($F133*12)-18000)&gt;5000,(5000*5%+((($F133*12)-18000)-5000)*10%),IF((($F133*12)-18000)&lt;5000,(($F133*12)-18000)*5%))))))))))/12)</f>
        <v>15.193548387096767</v>
      </c>
      <c r="J133" s="52"/>
      <c r="K133" s="52"/>
      <c r="L133" s="52"/>
      <c r="M133" s="54">
        <f t="shared" si="11"/>
        <v>947.92741935483855</v>
      </c>
      <c r="N133" s="50">
        <f t="shared" si="17"/>
        <v>1226.2959677419353</v>
      </c>
      <c r="O133" s="66" t="s">
        <v>353</v>
      </c>
      <c r="P133" s="135" t="s">
        <v>512</v>
      </c>
      <c r="Q133" s="67" t="s">
        <v>513</v>
      </c>
      <c r="S133" s="62" t="s">
        <v>358</v>
      </c>
      <c r="T133" s="153" t="s">
        <v>56</v>
      </c>
    </row>
    <row r="134" spans="1:20" x14ac:dyDescent="0.2">
      <c r="A134" s="45">
        <v>130</v>
      </c>
      <c r="B134" s="135" t="s">
        <v>514</v>
      </c>
      <c r="C134" s="67" t="s">
        <v>515</v>
      </c>
      <c r="D134" s="158" t="s">
        <v>516</v>
      </c>
      <c r="E134" s="50">
        <v>1280</v>
      </c>
      <c r="F134" s="52">
        <f>E134/31*24</f>
        <v>990.9677419354839</v>
      </c>
      <c r="G134" s="50">
        <f>E134*0.075</f>
        <v>96</v>
      </c>
      <c r="H134" s="50">
        <f t="shared" si="19"/>
        <v>182.39999999999998</v>
      </c>
      <c r="I134" s="51">
        <f t="shared" si="22"/>
        <v>12.048387096774194</v>
      </c>
      <c r="J134" s="52"/>
      <c r="K134" s="52"/>
      <c r="L134" s="52"/>
      <c r="M134" s="54">
        <f t="shared" ref="M134" si="23">(F134+K134)-SUM(G134,I134,J134,L134)</f>
        <v>882.91935483870975</v>
      </c>
      <c r="N134" s="50">
        <f t="shared" si="17"/>
        <v>1173.367741935484</v>
      </c>
      <c r="O134" s="66" t="s">
        <v>353</v>
      </c>
      <c r="P134" s="135" t="s">
        <v>514</v>
      </c>
      <c r="Q134" s="67" t="s">
        <v>515</v>
      </c>
      <c r="S134" s="62" t="s">
        <v>358</v>
      </c>
      <c r="T134" s="153" t="s">
        <v>56</v>
      </c>
    </row>
    <row r="135" spans="1:20" ht="15.75" x14ac:dyDescent="0.25">
      <c r="B135" s="159"/>
      <c r="D135">
        <f>30-12</f>
        <v>18</v>
      </c>
      <c r="E135" s="101">
        <f>SUM(E5:E134)</f>
        <v>184270</v>
      </c>
      <c r="F135" s="101">
        <f>SUM(F5:F134)</f>
        <v>183570.96774193546</v>
      </c>
      <c r="G135" s="168">
        <f>SUM(G5:G134)</f>
        <v>13294.65</v>
      </c>
      <c r="H135" s="168">
        <f>SUM(H5:H134)</f>
        <v>25259.834999999992</v>
      </c>
      <c r="I135" s="101">
        <f>SUM(I5:I134)</f>
        <v>7743.9037634408623</v>
      </c>
      <c r="J135" s="101">
        <f>SUM(J5:J110)</f>
        <v>0</v>
      </c>
      <c r="K135" s="101">
        <f>SUM(K5:K134)</f>
        <v>0</v>
      </c>
      <c r="L135" s="101">
        <f>SUM(L5:L134)</f>
        <v>0</v>
      </c>
      <c r="M135" s="139">
        <f>SUM(M5:M134)</f>
        <v>162532.41397849459</v>
      </c>
      <c r="N135" s="101">
        <f>SUM(N5:N134)</f>
        <v>208830.80274193551</v>
      </c>
      <c r="S135"/>
    </row>
    <row r="136" spans="1:20" x14ac:dyDescent="0.2">
      <c r="B136" s="91"/>
      <c r="G136">
        <v>686.21</v>
      </c>
      <c r="L136" s="102"/>
    </row>
    <row r="137" spans="1:20" ht="15" x14ac:dyDescent="0.25">
      <c r="B137" s="91"/>
      <c r="H137" s="3"/>
      <c r="I137" s="3"/>
      <c r="M137" s="103"/>
      <c r="N137" s="104"/>
    </row>
    <row r="138" spans="1:20" ht="15.75" x14ac:dyDescent="0.25">
      <c r="B138" s="91"/>
      <c r="C138" s="105" t="s">
        <v>393</v>
      </c>
      <c r="D138" s="106">
        <f>F135-D140</f>
        <v>176674.96774193546</v>
      </c>
      <c r="E138" s="107" t="s">
        <v>394</v>
      </c>
      <c r="F138" s="108">
        <v>521101</v>
      </c>
      <c r="G138" t="s">
        <v>59</v>
      </c>
      <c r="H138" s="109">
        <v>0.7</v>
      </c>
      <c r="I138" s="3">
        <v>651101</v>
      </c>
      <c r="J138" t="s">
        <v>395</v>
      </c>
      <c r="M138" s="103"/>
    </row>
    <row r="139" spans="1:20" ht="15" x14ac:dyDescent="0.25">
      <c r="B139" s="91"/>
      <c r="D139" s="106">
        <f>H135-D141</f>
        <v>24326.459999999992</v>
      </c>
      <c r="E139" s="107" t="s">
        <v>396</v>
      </c>
      <c r="F139" s="108">
        <v>521107</v>
      </c>
      <c r="G139" t="s">
        <v>59</v>
      </c>
      <c r="H139" s="110" t="s">
        <v>397</v>
      </c>
      <c r="I139" s="110" t="s">
        <v>398</v>
      </c>
      <c r="O139" s="3">
        <v>51111101</v>
      </c>
      <c r="S139" s="111">
        <v>51111107</v>
      </c>
    </row>
    <row r="140" spans="1:20" x14ac:dyDescent="0.2">
      <c r="B140" s="91"/>
      <c r="D140" s="107">
        <f>F22+F43+F47+F50+F72</f>
        <v>6896</v>
      </c>
      <c r="E140" s="107" t="s">
        <v>399</v>
      </c>
      <c r="F140" s="108">
        <v>621101</v>
      </c>
      <c r="G140" t="s">
        <v>400</v>
      </c>
      <c r="H140" s="112">
        <v>651102</v>
      </c>
      <c r="I140" s="113" t="s">
        <v>401</v>
      </c>
      <c r="J140" s="33"/>
      <c r="K140" s="33"/>
      <c r="L140">
        <v>51111101</v>
      </c>
      <c r="M140" s="62">
        <v>111111</v>
      </c>
      <c r="N140" t="s">
        <v>402</v>
      </c>
      <c r="O140" s="114">
        <v>2300</v>
      </c>
      <c r="P140" s="102"/>
      <c r="Q140" s="102"/>
      <c r="R140" s="102"/>
      <c r="S140" s="115">
        <v>327.75</v>
      </c>
    </row>
    <row r="141" spans="1:20" x14ac:dyDescent="0.2">
      <c r="D141" s="116">
        <f>H22+H43+H47+H50+H72</f>
        <v>933.375</v>
      </c>
      <c r="E141" s="107" t="s">
        <v>403</v>
      </c>
      <c r="F141" s="108">
        <v>621107</v>
      </c>
      <c r="G141" t="s">
        <v>400</v>
      </c>
      <c r="H141" s="117"/>
      <c r="I141" s="118"/>
      <c r="J141" s="118"/>
      <c r="K141" s="118"/>
      <c r="L141">
        <v>51111101</v>
      </c>
      <c r="M141" s="62">
        <v>122111</v>
      </c>
      <c r="N141" t="s">
        <v>402</v>
      </c>
      <c r="O141" s="114">
        <v>2500</v>
      </c>
      <c r="P141" s="102"/>
      <c r="Q141" s="102"/>
      <c r="R141" s="102"/>
      <c r="S141" s="115">
        <v>356.24999999999994</v>
      </c>
    </row>
    <row r="142" spans="1:20" x14ac:dyDescent="0.2">
      <c r="D142" s="116"/>
      <c r="E142" s="107" t="s">
        <v>404</v>
      </c>
      <c r="F142" s="108"/>
      <c r="H142" s="110"/>
      <c r="I142" s="118"/>
      <c r="J142" s="118"/>
      <c r="K142" s="118"/>
      <c r="L142">
        <v>51111101</v>
      </c>
      <c r="M142" s="62">
        <v>131111</v>
      </c>
      <c r="N142" t="s">
        <v>402</v>
      </c>
      <c r="O142" s="114">
        <v>8216.67</v>
      </c>
      <c r="P142" s="102"/>
      <c r="Q142" s="102"/>
      <c r="R142" s="102"/>
      <c r="S142" s="115">
        <v>897.75</v>
      </c>
    </row>
    <row r="143" spans="1:20" ht="28.5" x14ac:dyDescent="0.2">
      <c r="D143" s="119"/>
      <c r="E143" s="120" t="s">
        <v>405</v>
      </c>
      <c r="F143" s="108"/>
      <c r="G143" t="s">
        <v>59</v>
      </c>
      <c r="H143" s="118"/>
      <c r="I143" s="118"/>
      <c r="J143" s="118"/>
      <c r="L143">
        <v>51111101</v>
      </c>
      <c r="M143" s="62">
        <v>134311</v>
      </c>
      <c r="N143" t="s">
        <v>402</v>
      </c>
      <c r="O143" s="114">
        <v>450</v>
      </c>
      <c r="P143" s="102"/>
      <c r="Q143" s="102"/>
      <c r="R143" s="102"/>
      <c r="S143" s="115">
        <v>64.13</v>
      </c>
    </row>
    <row r="144" spans="1:20" x14ac:dyDescent="0.2">
      <c r="E144" s="121" t="s">
        <v>406</v>
      </c>
      <c r="G144" t="s">
        <v>59</v>
      </c>
      <c r="H144" s="118"/>
      <c r="I144" s="118"/>
      <c r="J144" s="118"/>
      <c r="L144">
        <v>51111101</v>
      </c>
      <c r="M144" s="62">
        <v>311311</v>
      </c>
      <c r="N144" t="s">
        <v>402</v>
      </c>
      <c r="O144" s="114">
        <v>815</v>
      </c>
      <c r="P144" s="102"/>
      <c r="Q144" s="102"/>
      <c r="R144" s="102"/>
      <c r="S144" s="115">
        <v>116.14</v>
      </c>
    </row>
    <row r="145" spans="4:21" x14ac:dyDescent="0.2">
      <c r="E145" s="121"/>
      <c r="G145" t="s">
        <v>59</v>
      </c>
      <c r="L145">
        <v>51111101</v>
      </c>
      <c r="M145" s="62">
        <v>323111</v>
      </c>
      <c r="N145" t="s">
        <v>402</v>
      </c>
      <c r="O145" s="114">
        <v>61006.33</v>
      </c>
      <c r="P145" s="102"/>
      <c r="Q145" s="102"/>
      <c r="R145" s="102"/>
      <c r="S145" s="115">
        <v>8753.6299999999992</v>
      </c>
    </row>
    <row r="146" spans="4:21" x14ac:dyDescent="0.2">
      <c r="D146" s="121"/>
      <c r="E146" s="121" t="s">
        <v>407</v>
      </c>
      <c r="F146">
        <v>522111</v>
      </c>
      <c r="G146" t="s">
        <v>59</v>
      </c>
      <c r="L146">
        <v>51111101</v>
      </c>
      <c r="M146" s="77">
        <v>122311</v>
      </c>
      <c r="N146" t="s">
        <v>402</v>
      </c>
      <c r="O146" s="114">
        <v>1350</v>
      </c>
      <c r="P146" s="102"/>
      <c r="Q146" s="102"/>
      <c r="R146" s="102"/>
      <c r="S146" s="115">
        <v>192.38</v>
      </c>
    </row>
    <row r="147" spans="4:21" x14ac:dyDescent="0.2">
      <c r="D147" s="104">
        <f>SUM(D137:D146)</f>
        <v>208830.80274193545</v>
      </c>
      <c r="L147">
        <v>51111101</v>
      </c>
      <c r="M147" s="62">
        <v>325311</v>
      </c>
      <c r="N147" t="s">
        <v>402</v>
      </c>
      <c r="O147" s="114">
        <v>18776</v>
      </c>
      <c r="P147" s="102"/>
      <c r="Q147" s="102"/>
      <c r="R147" s="102"/>
      <c r="S147" s="115">
        <v>2675.56</v>
      </c>
    </row>
    <row r="148" spans="4:21" x14ac:dyDescent="0.2">
      <c r="L148">
        <v>51111101</v>
      </c>
      <c r="M148" s="77">
        <v>326111</v>
      </c>
      <c r="N148" t="s">
        <v>402</v>
      </c>
      <c r="O148" s="114">
        <v>1490</v>
      </c>
      <c r="P148" s="102"/>
      <c r="Q148" s="102"/>
      <c r="R148" s="102"/>
      <c r="S148" s="115">
        <v>212.33</v>
      </c>
    </row>
    <row r="149" spans="4:21" x14ac:dyDescent="0.2">
      <c r="E149" s="106">
        <v>118164.74099999999</v>
      </c>
      <c r="F149" s="108" t="s">
        <v>408</v>
      </c>
      <c r="G149" s="108" t="s">
        <v>409</v>
      </c>
      <c r="I149" s="121">
        <f>E159-D147</f>
        <v>-44367.672978494578</v>
      </c>
      <c r="L149">
        <v>51111101</v>
      </c>
      <c r="M149" s="122">
        <v>327111</v>
      </c>
      <c r="N149" t="s">
        <v>402</v>
      </c>
      <c r="O149" s="114">
        <v>1631</v>
      </c>
      <c r="P149" s="102"/>
      <c r="Q149" s="102"/>
      <c r="R149" s="102"/>
      <c r="S149" s="115">
        <v>161.88</v>
      </c>
    </row>
    <row r="150" spans="4:21" x14ac:dyDescent="0.2">
      <c r="E150" s="106">
        <f>G135+H135</f>
        <v>38554.484999999993</v>
      </c>
      <c r="F150" s="108" t="s">
        <v>410</v>
      </c>
      <c r="G150" s="108">
        <v>214311</v>
      </c>
      <c r="L150">
        <v>51111101</v>
      </c>
      <c r="M150" s="62">
        <v>329111</v>
      </c>
      <c r="N150" t="s">
        <v>402</v>
      </c>
      <c r="O150" s="114">
        <v>38636.81</v>
      </c>
      <c r="P150" s="102"/>
      <c r="Q150" s="102"/>
      <c r="R150" s="102"/>
      <c r="S150" s="115">
        <v>5427.96</v>
      </c>
    </row>
    <row r="151" spans="4:21" x14ac:dyDescent="0.2">
      <c r="E151" s="106">
        <f>I135</f>
        <v>7743.9037634408623</v>
      </c>
      <c r="F151" s="108" t="s">
        <v>411</v>
      </c>
      <c r="G151" s="108">
        <v>214801</v>
      </c>
      <c r="L151">
        <v>51111101</v>
      </c>
      <c r="M151" s="62">
        <v>349311</v>
      </c>
      <c r="N151" t="s">
        <v>402</v>
      </c>
      <c r="O151" s="114">
        <v>3275</v>
      </c>
      <c r="P151" s="102"/>
      <c r="Q151" s="102"/>
      <c r="R151" s="102"/>
      <c r="S151" s="115">
        <v>466.69</v>
      </c>
    </row>
    <row r="152" spans="4:21" ht="15" x14ac:dyDescent="0.25">
      <c r="E152" s="123"/>
      <c r="L152">
        <v>51111101</v>
      </c>
      <c r="M152" s="122">
        <v>318223</v>
      </c>
      <c r="N152" t="s">
        <v>402</v>
      </c>
      <c r="O152" s="114">
        <v>1560</v>
      </c>
      <c r="P152" s="124"/>
      <c r="Q152" s="124"/>
      <c r="R152" s="124">
        <f>SUBTOTAL(9,R140:R151)</f>
        <v>0</v>
      </c>
      <c r="S152" s="115">
        <v>222.3</v>
      </c>
    </row>
    <row r="153" spans="4:21" ht="15" x14ac:dyDescent="0.25">
      <c r="E153" s="123"/>
      <c r="L153">
        <v>51111101</v>
      </c>
      <c r="M153" s="122">
        <v>325411</v>
      </c>
      <c r="N153" t="s">
        <v>402</v>
      </c>
      <c r="O153" s="114">
        <v>3619</v>
      </c>
      <c r="P153" s="124"/>
      <c r="Q153" s="124"/>
      <c r="R153" s="124"/>
      <c r="S153" s="115">
        <v>515.71</v>
      </c>
    </row>
    <row r="154" spans="4:21" ht="15" x14ac:dyDescent="0.25">
      <c r="E154" s="123"/>
      <c r="K154" s="125"/>
      <c r="L154">
        <v>51111101</v>
      </c>
      <c r="M154" s="62">
        <v>318242</v>
      </c>
      <c r="N154" t="s">
        <v>402</v>
      </c>
      <c r="O154" s="114">
        <v>1530</v>
      </c>
      <c r="P154" s="124"/>
      <c r="Q154" s="124"/>
      <c r="R154" s="124"/>
      <c r="S154" s="115">
        <v>363.38</v>
      </c>
    </row>
    <row r="155" spans="4:21" ht="15" x14ac:dyDescent="0.25">
      <c r="E155" s="123"/>
      <c r="L155">
        <v>51111101</v>
      </c>
      <c r="M155" s="62">
        <v>318531</v>
      </c>
      <c r="N155" t="s">
        <v>402</v>
      </c>
      <c r="O155" s="114">
        <v>266.67</v>
      </c>
      <c r="P155" s="124"/>
      <c r="Q155" s="124"/>
      <c r="R155" s="124"/>
      <c r="S155" s="115">
        <v>45.6</v>
      </c>
    </row>
    <row r="156" spans="4:21" ht="15" x14ac:dyDescent="0.25">
      <c r="E156" s="123"/>
      <c r="L156">
        <v>51111101</v>
      </c>
      <c r="M156" s="122">
        <v>322111</v>
      </c>
      <c r="N156" t="s">
        <v>402</v>
      </c>
      <c r="O156" s="114">
        <v>1008</v>
      </c>
      <c r="P156" s="124"/>
      <c r="Q156" s="124"/>
      <c r="R156" s="124"/>
      <c r="S156" s="115">
        <v>143.63999999999999</v>
      </c>
    </row>
    <row r="157" spans="4:21" ht="15" x14ac:dyDescent="0.25">
      <c r="E157" s="123"/>
      <c r="M157" s="122"/>
      <c r="O157" s="102"/>
      <c r="P157" s="124"/>
      <c r="Q157" s="124"/>
      <c r="R157" s="124"/>
      <c r="S157" s="115"/>
    </row>
    <row r="158" spans="4:21" ht="15" x14ac:dyDescent="0.25">
      <c r="E158" s="123"/>
      <c r="M158" s="122"/>
      <c r="O158" s="102"/>
      <c r="P158" s="124"/>
      <c r="Q158" s="124"/>
      <c r="R158" s="124"/>
      <c r="S158" s="115"/>
    </row>
    <row r="159" spans="4:21" ht="15" x14ac:dyDescent="0.25">
      <c r="E159" s="126">
        <f>SUM(E149:E152)</f>
        <v>164463.12976344087</v>
      </c>
      <c r="O159" s="124">
        <f>SUBTOTAL(9,O140:O158)</f>
        <v>148430.48000000001</v>
      </c>
      <c r="P159" s="124">
        <f>SUBTOTAL(9,P140:P152)</f>
        <v>0</v>
      </c>
      <c r="Q159" s="124">
        <f>SUBTOTAL(9,Q140:Q152)</f>
        <v>0</v>
      </c>
      <c r="R159" s="124">
        <f>SUBTOTAL(9,R140:R152)</f>
        <v>0</v>
      </c>
      <c r="S159" s="124">
        <f>SUM(S140:S157)</f>
        <v>20943.079999999994</v>
      </c>
      <c r="T159" s="124"/>
      <c r="U159" s="126"/>
    </row>
    <row r="161" spans="11:19" x14ac:dyDescent="0.2">
      <c r="K161" s="103">
        <f>M135</f>
        <v>162532.41397849459</v>
      </c>
      <c r="L161" s="127">
        <v>21141201</v>
      </c>
      <c r="N161" s="128" t="s">
        <v>412</v>
      </c>
    </row>
    <row r="162" spans="11:19" x14ac:dyDescent="0.2">
      <c r="K162" s="104">
        <f>G135+H135</f>
        <v>38554.484999999993</v>
      </c>
      <c r="L162" s="127">
        <v>21141204</v>
      </c>
      <c r="N162" s="128" t="s">
        <v>413</v>
      </c>
    </row>
    <row r="163" spans="11:19" ht="15" x14ac:dyDescent="0.25">
      <c r="K163" s="104">
        <f>I135</f>
        <v>7743.9037634408623</v>
      </c>
      <c r="L163" s="111">
        <v>21141304</v>
      </c>
      <c r="N163" s="128" t="s">
        <v>414</v>
      </c>
    </row>
    <row r="164" spans="11:19" ht="15" x14ac:dyDescent="0.25">
      <c r="S164" s="129">
        <f>SUM(S161:S163)</f>
        <v>0</v>
      </c>
    </row>
    <row r="165" spans="11:19" x14ac:dyDescent="0.2">
      <c r="S165" s="115">
        <f>O159+S159</f>
        <v>169373.56</v>
      </c>
    </row>
    <row r="166" spans="11:19" x14ac:dyDescent="0.2">
      <c r="K166" s="103">
        <f>K161+K162+K163</f>
        <v>208830.80274193545</v>
      </c>
    </row>
    <row r="167" spans="11:19" x14ac:dyDescent="0.2">
      <c r="M167" s="104">
        <f>S165-K166</f>
        <v>-39457.24274193545</v>
      </c>
    </row>
  </sheetData>
  <mergeCells count="4">
    <mergeCell ref="B1:D2"/>
    <mergeCell ref="E1:E2"/>
    <mergeCell ref="B3:D3"/>
    <mergeCell ref="E3:M3"/>
  </mergeCells>
  <conditionalFormatting sqref="L161">
    <cfRule type="duplicateValues" dxfId="139" priority="10"/>
    <cfRule type="duplicateValues" dxfId="138" priority="11"/>
    <cfRule type="duplicateValues" dxfId="137" priority="12"/>
    <cfRule type="duplicateValues" dxfId="136" priority="13"/>
  </conditionalFormatting>
  <conditionalFormatting sqref="L162">
    <cfRule type="duplicateValues" dxfId="135" priority="5"/>
    <cfRule type="duplicateValues" dxfId="134" priority="6"/>
    <cfRule type="duplicateValues" dxfId="133" priority="7"/>
    <cfRule type="duplicateValues" dxfId="132" priority="8"/>
  </conditionalFormatting>
  <conditionalFormatting sqref="L163">
    <cfRule type="duplicateValues" dxfId="131" priority="2"/>
    <cfRule type="duplicateValues" dxfId="130" priority="3"/>
  </conditionalFormatting>
  <conditionalFormatting sqref="M148">
    <cfRule type="duplicateValues" dxfId="129" priority="18"/>
  </conditionalFormatting>
  <conditionalFormatting sqref="N161">
    <cfRule type="duplicateValues" dxfId="128" priority="9"/>
  </conditionalFormatting>
  <conditionalFormatting sqref="N162">
    <cfRule type="duplicateValues" dxfId="127" priority="4"/>
  </conditionalFormatting>
  <conditionalFormatting sqref="N163">
    <cfRule type="duplicateValues" dxfId="126" priority="1"/>
  </conditionalFormatting>
  <conditionalFormatting sqref="P5:P47">
    <cfRule type="duplicateValues" dxfId="125" priority="19"/>
  </conditionalFormatting>
  <conditionalFormatting sqref="S55:S68">
    <cfRule type="duplicateValues" dxfId="124" priority="20"/>
  </conditionalFormatting>
  <conditionalFormatting sqref="S139">
    <cfRule type="duplicateValues" dxfId="123" priority="14"/>
    <cfRule type="duplicateValues" dxfId="122" priority="15"/>
    <cfRule type="duplicateValues" dxfId="121" priority="16"/>
    <cfRule type="duplicateValues" dxfId="120" priority="17"/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DBF2E-CA37-4BBD-8778-AD3499018FA4}">
  <sheetPr codeName="Sheet9"/>
  <dimension ref="A1:V168"/>
  <sheetViews>
    <sheetView topLeftCell="A60" workbookViewId="0">
      <selection activeCell="D83" sqref="D83"/>
    </sheetView>
  </sheetViews>
  <sheetFormatPr defaultRowHeight="14.25" x14ac:dyDescent="0.2"/>
  <cols>
    <col min="2" max="2" width="8.375" bestFit="1" customWidth="1"/>
    <col min="3" max="3" width="42.25" bestFit="1" customWidth="1"/>
    <col min="4" max="4" width="31.875" bestFit="1" customWidth="1"/>
  </cols>
  <sheetData>
    <row r="1" spans="1:20" x14ac:dyDescent="0.2">
      <c r="B1" s="198" t="s">
        <v>460</v>
      </c>
      <c r="C1" s="198"/>
      <c r="D1" s="198"/>
      <c r="E1" s="200">
        <v>45901</v>
      </c>
    </row>
    <row r="2" spans="1:20" ht="15" thickBot="1" x14ac:dyDescent="0.25">
      <c r="B2" s="199"/>
      <c r="C2" s="199"/>
      <c r="D2" s="199"/>
      <c r="E2" s="201"/>
    </row>
    <row r="3" spans="1:20" ht="18.75" thickBot="1" x14ac:dyDescent="0.25">
      <c r="B3" s="202" t="s">
        <v>32</v>
      </c>
      <c r="C3" s="203"/>
      <c r="D3" s="204"/>
      <c r="E3" s="203" t="s">
        <v>33</v>
      </c>
      <c r="F3" s="203"/>
      <c r="G3" s="203"/>
      <c r="H3" s="203"/>
      <c r="I3" s="203"/>
      <c r="J3" s="203"/>
      <c r="K3" s="203"/>
      <c r="L3" s="203"/>
      <c r="M3" s="204"/>
      <c r="N3" s="34" t="s">
        <v>34</v>
      </c>
      <c r="T3" s="33"/>
    </row>
    <row r="4" spans="1:20" ht="90" x14ac:dyDescent="0.2">
      <c r="A4" s="35" t="s">
        <v>35</v>
      </c>
      <c r="B4" s="35" t="s">
        <v>36</v>
      </c>
      <c r="C4" s="36" t="s">
        <v>37</v>
      </c>
      <c r="D4" s="37" t="s">
        <v>38</v>
      </c>
      <c r="E4" s="38" t="s">
        <v>13</v>
      </c>
      <c r="F4" s="39" t="s">
        <v>39</v>
      </c>
      <c r="G4" s="40" t="s">
        <v>40</v>
      </c>
      <c r="H4" s="40" t="s">
        <v>41</v>
      </c>
      <c r="I4" s="39" t="s">
        <v>23</v>
      </c>
      <c r="J4" s="39" t="s">
        <v>24</v>
      </c>
      <c r="K4" s="39" t="s">
        <v>42</v>
      </c>
      <c r="L4" s="39" t="s">
        <v>25</v>
      </c>
      <c r="M4" s="37" t="s">
        <v>43</v>
      </c>
      <c r="N4" s="41" t="s">
        <v>44</v>
      </c>
      <c r="O4" s="42" t="s">
        <v>45</v>
      </c>
      <c r="P4" s="43" t="s">
        <v>46</v>
      </c>
      <c r="Q4" s="43" t="s">
        <v>47</v>
      </c>
      <c r="R4" s="43" t="s">
        <v>48</v>
      </c>
      <c r="S4" s="43" t="s">
        <v>49</v>
      </c>
      <c r="T4" s="44" t="s">
        <v>50</v>
      </c>
    </row>
    <row r="5" spans="1:20" x14ac:dyDescent="0.2">
      <c r="A5" s="45">
        <v>1</v>
      </c>
      <c r="B5" s="45" t="s">
        <v>51</v>
      </c>
      <c r="C5" s="46" t="s">
        <v>52</v>
      </c>
      <c r="D5" s="47" t="s">
        <v>416</v>
      </c>
      <c r="E5" s="48">
        <v>745</v>
      </c>
      <c r="F5" s="49">
        <v>745</v>
      </c>
      <c r="G5" s="50">
        <v>55.875</v>
      </c>
      <c r="H5" s="50">
        <v>106.16249999999999</v>
      </c>
      <c r="I5" s="51">
        <v>0</v>
      </c>
      <c r="J5" s="52"/>
      <c r="K5" s="52">
        <v>0</v>
      </c>
      <c r="L5" s="53"/>
      <c r="M5" s="54">
        <v>689.125</v>
      </c>
      <c r="N5" s="55">
        <v>851.16250000000002</v>
      </c>
      <c r="O5" s="33" t="s">
        <v>54</v>
      </c>
      <c r="P5" s="56" t="s">
        <v>51</v>
      </c>
      <c r="Q5" s="56" t="s">
        <v>52</v>
      </c>
      <c r="R5" s="57" t="s">
        <v>55</v>
      </c>
      <c r="S5" s="58">
        <v>329111</v>
      </c>
      <c r="T5" s="56" t="s">
        <v>56</v>
      </c>
    </row>
    <row r="6" spans="1:20" x14ac:dyDescent="0.2">
      <c r="A6" s="45">
        <v>2</v>
      </c>
      <c r="B6" s="45" t="s">
        <v>57</v>
      </c>
      <c r="C6" s="46" t="s">
        <v>58</v>
      </c>
      <c r="D6" s="59" t="s">
        <v>53</v>
      </c>
      <c r="E6" s="48">
        <v>2058</v>
      </c>
      <c r="F6" s="49">
        <v>2058</v>
      </c>
      <c r="G6" s="50">
        <v>118.72499999999999</v>
      </c>
      <c r="H6" s="50">
        <v>225.57749999999999</v>
      </c>
      <c r="I6" s="51">
        <v>34.966666666666669</v>
      </c>
      <c r="J6" s="52"/>
      <c r="K6" s="52">
        <v>0</v>
      </c>
      <c r="L6" s="53"/>
      <c r="M6" s="54">
        <v>1904.3083333333334</v>
      </c>
      <c r="N6" s="55">
        <v>2283.5774999999999</v>
      </c>
      <c r="O6" s="33" t="s">
        <v>69</v>
      </c>
      <c r="P6" s="60" t="s">
        <v>57</v>
      </c>
      <c r="Q6" s="60" t="s">
        <v>58</v>
      </c>
      <c r="R6" s="61" t="s">
        <v>59</v>
      </c>
      <c r="S6" s="62">
        <v>329111</v>
      </c>
      <c r="T6" s="60" t="s">
        <v>56</v>
      </c>
    </row>
    <row r="7" spans="1:20" x14ac:dyDescent="0.2">
      <c r="A7" s="45">
        <v>3</v>
      </c>
      <c r="B7" s="45" t="s">
        <v>60</v>
      </c>
      <c r="C7" s="46" t="s">
        <v>61</v>
      </c>
      <c r="D7" s="47" t="s">
        <v>62</v>
      </c>
      <c r="E7" s="48">
        <v>2755</v>
      </c>
      <c r="F7" s="49">
        <v>2755</v>
      </c>
      <c r="G7" s="50">
        <v>206.625</v>
      </c>
      <c r="H7" s="50">
        <v>392.58749999999998</v>
      </c>
      <c r="I7" s="51">
        <v>292.91666666666669</v>
      </c>
      <c r="J7" s="52"/>
      <c r="K7" s="52">
        <v>0</v>
      </c>
      <c r="L7" s="53"/>
      <c r="M7" s="54">
        <v>2255.4583333333335</v>
      </c>
      <c r="N7" s="55">
        <v>3147.5875000000001</v>
      </c>
      <c r="O7" s="33" t="s">
        <v>54</v>
      </c>
      <c r="P7" s="60" t="s">
        <v>60</v>
      </c>
      <c r="Q7" s="60" t="s">
        <v>61</v>
      </c>
      <c r="R7" s="61" t="s">
        <v>59</v>
      </c>
      <c r="S7" s="62">
        <v>323111</v>
      </c>
      <c r="T7" s="60" t="s">
        <v>56</v>
      </c>
    </row>
    <row r="8" spans="1:20" x14ac:dyDescent="0.2">
      <c r="A8" s="45">
        <v>4</v>
      </c>
      <c r="B8" s="45" t="s">
        <v>63</v>
      </c>
      <c r="C8" s="46" t="s">
        <v>64</v>
      </c>
      <c r="D8" s="47" t="s">
        <v>65</v>
      </c>
      <c r="E8" s="48">
        <v>900</v>
      </c>
      <c r="F8" s="49">
        <v>900</v>
      </c>
      <c r="G8" s="50">
        <v>67.5</v>
      </c>
      <c r="H8" s="50">
        <v>128.25</v>
      </c>
      <c r="I8" s="51">
        <v>7.5</v>
      </c>
      <c r="J8" s="52"/>
      <c r="K8" s="52">
        <v>0</v>
      </c>
      <c r="L8" s="53"/>
      <c r="M8" s="54">
        <v>825</v>
      </c>
      <c r="N8" s="55">
        <v>1028.25</v>
      </c>
      <c r="O8" s="33" t="s">
        <v>54</v>
      </c>
      <c r="P8" s="60" t="s">
        <v>63</v>
      </c>
      <c r="Q8" s="60" t="s">
        <v>64</v>
      </c>
      <c r="R8" s="61" t="s">
        <v>59</v>
      </c>
      <c r="S8" s="62">
        <v>323111</v>
      </c>
      <c r="T8" s="60" t="s">
        <v>56</v>
      </c>
    </row>
    <row r="9" spans="1:20" x14ac:dyDescent="0.2">
      <c r="A9" s="45">
        <v>5</v>
      </c>
      <c r="B9" s="45" t="s">
        <v>66</v>
      </c>
      <c r="C9" s="46" t="s">
        <v>67</v>
      </c>
      <c r="D9" s="47" t="s">
        <v>68</v>
      </c>
      <c r="E9" s="48">
        <v>2428</v>
      </c>
      <c r="F9" s="49">
        <v>2428</v>
      </c>
      <c r="G9" s="50">
        <v>182.1</v>
      </c>
      <c r="H9" s="50">
        <v>345.98999999999995</v>
      </c>
      <c r="I9" s="51">
        <v>76.7</v>
      </c>
      <c r="J9" s="52"/>
      <c r="K9" s="52">
        <v>0</v>
      </c>
      <c r="L9" s="53"/>
      <c r="M9" s="54">
        <v>2169.1999999999998</v>
      </c>
      <c r="N9" s="55">
        <v>2773.99</v>
      </c>
      <c r="O9" s="33" t="s">
        <v>69</v>
      </c>
      <c r="P9" s="60" t="s">
        <v>66</v>
      </c>
      <c r="Q9" s="60" t="s">
        <v>67</v>
      </c>
      <c r="R9" s="61" t="s">
        <v>59</v>
      </c>
      <c r="S9" s="62">
        <v>329111</v>
      </c>
      <c r="T9" s="60" t="s">
        <v>56</v>
      </c>
    </row>
    <row r="10" spans="1:20" x14ac:dyDescent="0.2">
      <c r="A10" s="45">
        <v>6</v>
      </c>
      <c r="B10" s="45" t="s">
        <v>70</v>
      </c>
      <c r="C10" s="46" t="s">
        <v>71</v>
      </c>
      <c r="D10" s="47" t="s">
        <v>65</v>
      </c>
      <c r="E10" s="48">
        <v>1165</v>
      </c>
      <c r="F10" s="49">
        <v>1165</v>
      </c>
      <c r="G10" s="50">
        <v>87.375</v>
      </c>
      <c r="H10" s="50">
        <v>166.01249999999999</v>
      </c>
      <c r="I10" s="51">
        <v>20.75</v>
      </c>
      <c r="J10" s="52"/>
      <c r="K10" s="52">
        <v>0</v>
      </c>
      <c r="L10" s="53"/>
      <c r="M10" s="54">
        <v>1056.875</v>
      </c>
      <c r="N10" s="55">
        <v>1331.0125</v>
      </c>
      <c r="O10" s="33" t="s">
        <v>54</v>
      </c>
      <c r="P10" s="60" t="s">
        <v>70</v>
      </c>
      <c r="Q10" s="60" t="s">
        <v>71</v>
      </c>
      <c r="R10" s="61" t="s">
        <v>59</v>
      </c>
      <c r="S10" s="62">
        <v>323111</v>
      </c>
      <c r="T10" s="60" t="s">
        <v>56</v>
      </c>
    </row>
    <row r="11" spans="1:20" x14ac:dyDescent="0.2">
      <c r="A11" s="45">
        <v>7</v>
      </c>
      <c r="B11" s="45" t="s">
        <v>72</v>
      </c>
      <c r="C11" s="46" t="s">
        <v>73</v>
      </c>
      <c r="D11" s="47" t="s">
        <v>74</v>
      </c>
      <c r="E11" s="48">
        <v>2540</v>
      </c>
      <c r="F11" s="49">
        <v>2540</v>
      </c>
      <c r="G11" s="50">
        <v>190.5</v>
      </c>
      <c r="H11" s="50">
        <v>361.95</v>
      </c>
      <c r="I11" s="51">
        <v>93.5</v>
      </c>
      <c r="J11" s="52"/>
      <c r="K11" s="52">
        <v>0</v>
      </c>
      <c r="L11" s="53"/>
      <c r="M11" s="54">
        <v>2256</v>
      </c>
      <c r="N11" s="55">
        <v>2901.95</v>
      </c>
      <c r="O11" s="33" t="s">
        <v>69</v>
      </c>
      <c r="P11" s="60" t="s">
        <v>72</v>
      </c>
      <c r="Q11" s="60" t="s">
        <v>73</v>
      </c>
      <c r="R11" s="61" t="s">
        <v>59</v>
      </c>
      <c r="S11" s="62">
        <v>323111</v>
      </c>
      <c r="T11" s="60" t="s">
        <v>56</v>
      </c>
    </row>
    <row r="12" spans="1:20" x14ac:dyDescent="0.2">
      <c r="A12" s="45">
        <v>8</v>
      </c>
      <c r="B12" s="64" t="s">
        <v>75</v>
      </c>
      <c r="C12" s="46" t="s">
        <v>76</v>
      </c>
      <c r="D12" s="47" t="s">
        <v>77</v>
      </c>
      <c r="E12" s="65">
        <v>2273</v>
      </c>
      <c r="F12" s="50">
        <v>2273</v>
      </c>
      <c r="G12" s="50">
        <v>170.47499999999999</v>
      </c>
      <c r="H12" s="50">
        <v>323.90249999999997</v>
      </c>
      <c r="I12" s="51">
        <v>56.466666666666669</v>
      </c>
      <c r="J12" s="52"/>
      <c r="K12" s="52">
        <v>0</v>
      </c>
      <c r="L12" s="53"/>
      <c r="M12" s="54">
        <v>2046.0583333333334</v>
      </c>
      <c r="N12" s="55">
        <v>2596.9025000000001</v>
      </c>
      <c r="O12" s="33" t="s">
        <v>69</v>
      </c>
      <c r="P12" s="60" t="s">
        <v>75</v>
      </c>
      <c r="Q12" s="60" t="s">
        <v>76</v>
      </c>
      <c r="R12" s="61" t="s">
        <v>59</v>
      </c>
      <c r="S12" s="62">
        <v>323111</v>
      </c>
      <c r="T12" s="60" t="s">
        <v>56</v>
      </c>
    </row>
    <row r="13" spans="1:20" x14ac:dyDescent="0.2">
      <c r="A13" s="45">
        <v>9</v>
      </c>
      <c r="B13" s="66" t="s">
        <v>78</v>
      </c>
      <c r="C13" s="46" t="s">
        <v>79</v>
      </c>
      <c r="D13" s="67" t="s">
        <v>74</v>
      </c>
      <c r="E13" s="68">
        <v>2350</v>
      </c>
      <c r="F13" s="52">
        <v>2350</v>
      </c>
      <c r="G13" s="50">
        <v>176.25</v>
      </c>
      <c r="H13" s="50">
        <v>334.87499999999994</v>
      </c>
      <c r="I13" s="51">
        <v>195</v>
      </c>
      <c r="J13" s="52"/>
      <c r="K13" s="52">
        <v>0</v>
      </c>
      <c r="L13" s="53"/>
      <c r="M13" s="54">
        <v>1978.75</v>
      </c>
      <c r="N13" s="55">
        <v>2684.875</v>
      </c>
      <c r="O13" s="33" t="s">
        <v>54</v>
      </c>
      <c r="P13" s="60" t="s">
        <v>78</v>
      </c>
      <c r="Q13" s="60" t="s">
        <v>79</v>
      </c>
      <c r="R13" s="61" t="s">
        <v>59</v>
      </c>
      <c r="S13" s="62">
        <v>323111</v>
      </c>
      <c r="T13" s="60" t="s">
        <v>56</v>
      </c>
    </row>
    <row r="14" spans="1:20" x14ac:dyDescent="0.2">
      <c r="A14" s="45">
        <v>10</v>
      </c>
      <c r="B14" s="66" t="s">
        <v>80</v>
      </c>
      <c r="C14" s="46" t="s">
        <v>81</v>
      </c>
      <c r="D14" s="67" t="s">
        <v>82</v>
      </c>
      <c r="E14" s="68">
        <v>710</v>
      </c>
      <c r="F14" s="52">
        <v>710</v>
      </c>
      <c r="G14" s="50">
        <v>53.25</v>
      </c>
      <c r="H14" s="50">
        <v>101.175</v>
      </c>
      <c r="I14" s="51">
        <v>0</v>
      </c>
      <c r="J14" s="52"/>
      <c r="K14" s="52">
        <v>0</v>
      </c>
      <c r="L14" s="53"/>
      <c r="M14" s="54">
        <v>656.75</v>
      </c>
      <c r="N14" s="55">
        <v>811.17499999999995</v>
      </c>
      <c r="O14" s="33" t="s">
        <v>54</v>
      </c>
      <c r="P14" s="60" t="s">
        <v>80</v>
      </c>
      <c r="Q14" s="60" t="s">
        <v>81</v>
      </c>
      <c r="R14" s="61" t="s">
        <v>59</v>
      </c>
      <c r="S14" s="62">
        <v>329111</v>
      </c>
      <c r="T14" s="60" t="s">
        <v>56</v>
      </c>
    </row>
    <row r="15" spans="1:20" x14ac:dyDescent="0.2">
      <c r="A15" s="45">
        <v>11</v>
      </c>
      <c r="B15" s="66" t="s">
        <v>83</v>
      </c>
      <c r="C15" s="46" t="s">
        <v>84</v>
      </c>
      <c r="D15" s="67" t="s">
        <v>85</v>
      </c>
      <c r="E15" s="68">
        <v>1535</v>
      </c>
      <c r="F15" s="52">
        <v>1535</v>
      </c>
      <c r="G15" s="50">
        <v>115.125</v>
      </c>
      <c r="H15" s="50">
        <v>218.73749999999998</v>
      </c>
      <c r="I15" s="51">
        <v>57.666666666666664</v>
      </c>
      <c r="J15" s="52"/>
      <c r="K15" s="52">
        <v>0</v>
      </c>
      <c r="L15" s="53"/>
      <c r="M15" s="54">
        <v>1362.2083333333333</v>
      </c>
      <c r="N15" s="55">
        <v>1753.7375</v>
      </c>
      <c r="O15" s="33" t="s">
        <v>54</v>
      </c>
      <c r="P15" s="60" t="s">
        <v>83</v>
      </c>
      <c r="Q15" s="60" t="s">
        <v>84</v>
      </c>
      <c r="R15" s="61" t="s">
        <v>55</v>
      </c>
      <c r="S15" s="62">
        <v>323111</v>
      </c>
      <c r="T15" s="60" t="s">
        <v>56</v>
      </c>
    </row>
    <row r="16" spans="1:20" x14ac:dyDescent="0.2">
      <c r="A16" s="45">
        <v>12</v>
      </c>
      <c r="B16" s="66" t="s">
        <v>86</v>
      </c>
      <c r="C16" s="46" t="s">
        <v>87</v>
      </c>
      <c r="D16" s="67" t="s">
        <v>65</v>
      </c>
      <c r="E16" s="69">
        <v>1235</v>
      </c>
      <c r="F16" s="49">
        <v>1235</v>
      </c>
      <c r="G16" s="50">
        <v>92.625</v>
      </c>
      <c r="H16" s="50">
        <v>175.98749999999998</v>
      </c>
      <c r="I16" s="51">
        <v>27.666666666666668</v>
      </c>
      <c r="J16" s="52"/>
      <c r="K16" s="52">
        <v>0</v>
      </c>
      <c r="L16" s="53"/>
      <c r="M16" s="54">
        <v>1114.7083333333333</v>
      </c>
      <c r="N16" s="55">
        <v>1410.9875</v>
      </c>
      <c r="O16" s="33" t="s">
        <v>54</v>
      </c>
      <c r="P16" s="60" t="s">
        <v>86</v>
      </c>
      <c r="Q16" s="60" t="s">
        <v>87</v>
      </c>
      <c r="R16" s="61" t="s">
        <v>55</v>
      </c>
      <c r="S16" s="62">
        <v>323111</v>
      </c>
      <c r="T16" s="60" t="s">
        <v>56</v>
      </c>
    </row>
    <row r="17" spans="1:20" x14ac:dyDescent="0.2">
      <c r="A17" s="45">
        <v>13</v>
      </c>
      <c r="B17" s="66" t="s">
        <v>88</v>
      </c>
      <c r="C17" s="46" t="s">
        <v>89</v>
      </c>
      <c r="D17" s="67" t="s">
        <v>82</v>
      </c>
      <c r="E17" s="69">
        <v>1000</v>
      </c>
      <c r="F17" s="49">
        <v>1000</v>
      </c>
      <c r="G17" s="50">
        <v>75</v>
      </c>
      <c r="H17" s="50">
        <v>142.5</v>
      </c>
      <c r="I17" s="51">
        <v>12.5</v>
      </c>
      <c r="J17" s="52"/>
      <c r="K17" s="52">
        <v>0</v>
      </c>
      <c r="L17" s="53"/>
      <c r="M17" s="54">
        <v>912.5</v>
      </c>
      <c r="N17" s="55">
        <v>1142.5</v>
      </c>
      <c r="O17" s="33" t="s">
        <v>54</v>
      </c>
      <c r="P17" s="60" t="s">
        <v>88</v>
      </c>
      <c r="Q17" s="60" t="s">
        <v>89</v>
      </c>
      <c r="R17" s="61" t="s">
        <v>55</v>
      </c>
      <c r="S17" s="62">
        <v>329111</v>
      </c>
      <c r="T17" s="60" t="s">
        <v>56</v>
      </c>
    </row>
    <row r="18" spans="1:20" x14ac:dyDescent="0.2">
      <c r="A18" s="45">
        <v>14</v>
      </c>
      <c r="B18" s="45" t="s">
        <v>90</v>
      </c>
      <c r="C18" s="46" t="s">
        <v>91</v>
      </c>
      <c r="D18" s="70" t="s">
        <v>53</v>
      </c>
      <c r="E18" s="69">
        <v>1470</v>
      </c>
      <c r="F18" s="49">
        <v>1470</v>
      </c>
      <c r="G18" s="50">
        <v>110.25</v>
      </c>
      <c r="H18" s="50">
        <v>209.47499999999999</v>
      </c>
      <c r="I18" s="51">
        <v>51.166666666666664</v>
      </c>
      <c r="J18" s="52"/>
      <c r="K18" s="52">
        <v>0</v>
      </c>
      <c r="L18" s="53"/>
      <c r="M18" s="54">
        <v>1308.5833333333333</v>
      </c>
      <c r="N18" s="55">
        <v>1679.4749999999999</v>
      </c>
      <c r="O18" s="33" t="s">
        <v>54</v>
      </c>
      <c r="P18" s="60" t="s">
        <v>90</v>
      </c>
      <c r="Q18" s="60" t="s">
        <v>91</v>
      </c>
      <c r="R18" s="61" t="s">
        <v>55</v>
      </c>
      <c r="S18" s="62">
        <v>329111</v>
      </c>
      <c r="T18" s="60" t="s">
        <v>56</v>
      </c>
    </row>
    <row r="19" spans="1:20" x14ac:dyDescent="0.2">
      <c r="A19" s="45">
        <v>15</v>
      </c>
      <c r="B19" s="45" t="s">
        <v>92</v>
      </c>
      <c r="C19" s="46" t="s">
        <v>93</v>
      </c>
      <c r="D19" s="70" t="s">
        <v>94</v>
      </c>
      <c r="E19" s="69">
        <v>2840</v>
      </c>
      <c r="F19" s="49">
        <v>2840</v>
      </c>
      <c r="G19" s="50">
        <v>213</v>
      </c>
      <c r="H19" s="50">
        <v>404.7</v>
      </c>
      <c r="I19" s="51">
        <v>143</v>
      </c>
      <c r="J19" s="52"/>
      <c r="K19" s="52">
        <v>0</v>
      </c>
      <c r="L19" s="53"/>
      <c r="M19" s="54">
        <v>2484</v>
      </c>
      <c r="N19" s="55">
        <v>3244.7</v>
      </c>
      <c r="O19" s="33" t="s">
        <v>69</v>
      </c>
      <c r="P19" s="60" t="s">
        <v>92</v>
      </c>
      <c r="Q19" s="60" t="s">
        <v>93</v>
      </c>
      <c r="R19" s="61" t="s">
        <v>55</v>
      </c>
      <c r="S19" s="62">
        <v>329111</v>
      </c>
      <c r="T19" s="60" t="s">
        <v>56</v>
      </c>
    </row>
    <row r="20" spans="1:20" x14ac:dyDescent="0.2">
      <c r="A20" s="45">
        <v>16</v>
      </c>
      <c r="B20" s="45" t="s">
        <v>98</v>
      </c>
      <c r="C20" s="46" t="s">
        <v>99</v>
      </c>
      <c r="D20" s="70" t="s">
        <v>100</v>
      </c>
      <c r="E20" s="68">
        <v>1675</v>
      </c>
      <c r="F20" s="52">
        <v>1675</v>
      </c>
      <c r="G20" s="50">
        <v>125.625</v>
      </c>
      <c r="H20" s="50">
        <v>238.68749999999997</v>
      </c>
      <c r="I20" s="51">
        <v>8.75</v>
      </c>
      <c r="J20" s="52"/>
      <c r="K20" s="52">
        <v>0</v>
      </c>
      <c r="L20" s="53"/>
      <c r="M20" s="54">
        <v>1540.625</v>
      </c>
      <c r="N20" s="55">
        <v>1913.6875</v>
      </c>
      <c r="O20" s="33" t="s">
        <v>69</v>
      </c>
      <c r="P20" s="60" t="s">
        <v>98</v>
      </c>
      <c r="Q20" s="60" t="s">
        <v>99</v>
      </c>
      <c r="R20" s="61" t="s">
        <v>101</v>
      </c>
      <c r="S20" s="62">
        <v>349311</v>
      </c>
      <c r="T20" s="60" t="s">
        <v>102</v>
      </c>
    </row>
    <row r="21" spans="1:20" x14ac:dyDescent="0.2">
      <c r="A21" s="45">
        <v>17</v>
      </c>
      <c r="B21" s="45" t="s">
        <v>103</v>
      </c>
      <c r="C21" s="46" t="s">
        <v>104</v>
      </c>
      <c r="D21" s="70" t="s">
        <v>82</v>
      </c>
      <c r="E21" s="68">
        <v>1012</v>
      </c>
      <c r="F21" s="52">
        <v>1012</v>
      </c>
      <c r="G21" s="50">
        <v>75.899999999999991</v>
      </c>
      <c r="H21" s="50">
        <v>144.20999999999998</v>
      </c>
      <c r="I21" s="51">
        <v>13.100000000000001</v>
      </c>
      <c r="J21" s="52"/>
      <c r="K21" s="52">
        <v>0</v>
      </c>
      <c r="L21" s="53"/>
      <c r="M21" s="54">
        <v>923</v>
      </c>
      <c r="N21" s="55">
        <v>1156.21</v>
      </c>
      <c r="O21" s="33" t="s">
        <v>54</v>
      </c>
      <c r="P21" s="60" t="s">
        <v>103</v>
      </c>
      <c r="Q21" s="60" t="s">
        <v>104</v>
      </c>
      <c r="R21" s="61" t="s">
        <v>59</v>
      </c>
      <c r="S21" s="62">
        <v>329111</v>
      </c>
      <c r="T21" s="60" t="s">
        <v>56</v>
      </c>
    </row>
    <row r="22" spans="1:20" x14ac:dyDescent="0.2">
      <c r="A22" s="45">
        <v>18</v>
      </c>
      <c r="B22" s="71" t="s">
        <v>107</v>
      </c>
      <c r="C22" s="46" t="s">
        <v>108</v>
      </c>
      <c r="D22" s="70" t="s">
        <v>109</v>
      </c>
      <c r="E22" s="68">
        <v>2500</v>
      </c>
      <c r="F22" s="52">
        <v>2500</v>
      </c>
      <c r="G22" s="50">
        <v>187.5</v>
      </c>
      <c r="H22" s="50">
        <v>356.24999999999994</v>
      </c>
      <c r="I22" s="51">
        <v>87.5</v>
      </c>
      <c r="J22" s="52"/>
      <c r="K22" s="52">
        <v>0</v>
      </c>
      <c r="L22" s="53"/>
      <c r="M22" s="54">
        <v>2225</v>
      </c>
      <c r="N22" s="55">
        <v>2856.25</v>
      </c>
      <c r="O22" s="33" t="s">
        <v>69</v>
      </c>
      <c r="P22" s="60" t="s">
        <v>107</v>
      </c>
      <c r="Q22" s="60" t="s">
        <v>108</v>
      </c>
      <c r="R22" s="61" t="s">
        <v>59</v>
      </c>
      <c r="S22" s="62">
        <v>122111</v>
      </c>
      <c r="T22" s="60" t="s">
        <v>110</v>
      </c>
    </row>
    <row r="23" spans="1:20" x14ac:dyDescent="0.2">
      <c r="A23" s="45">
        <v>19</v>
      </c>
      <c r="B23" s="45" t="s">
        <v>111</v>
      </c>
      <c r="C23" s="46" t="s">
        <v>112</v>
      </c>
      <c r="D23" s="70" t="s">
        <v>82</v>
      </c>
      <c r="E23" s="68">
        <v>1012</v>
      </c>
      <c r="F23" s="52">
        <v>1012</v>
      </c>
      <c r="G23" s="50">
        <v>75.899999999999991</v>
      </c>
      <c r="H23" s="50">
        <v>144.20999999999998</v>
      </c>
      <c r="I23" s="51">
        <v>13.100000000000001</v>
      </c>
      <c r="J23" s="52"/>
      <c r="K23" s="52">
        <v>0</v>
      </c>
      <c r="L23" s="53"/>
      <c r="M23" s="54">
        <v>923</v>
      </c>
      <c r="N23" s="55">
        <v>1156.21</v>
      </c>
      <c r="O23" s="33" t="s">
        <v>54</v>
      </c>
      <c r="P23" s="60" t="s">
        <v>111</v>
      </c>
      <c r="Q23" s="60" t="s">
        <v>112</v>
      </c>
      <c r="R23" s="61" t="s">
        <v>59</v>
      </c>
      <c r="S23" s="62">
        <v>329111</v>
      </c>
      <c r="T23" s="60" t="s">
        <v>56</v>
      </c>
    </row>
    <row r="24" spans="1:20" x14ac:dyDescent="0.2">
      <c r="A24" s="45">
        <v>20</v>
      </c>
      <c r="B24" s="45" t="s">
        <v>113</v>
      </c>
      <c r="C24" s="46" t="s">
        <v>114</v>
      </c>
      <c r="D24" s="70" t="s">
        <v>82</v>
      </c>
      <c r="E24" s="68">
        <v>976</v>
      </c>
      <c r="F24" s="52">
        <v>976</v>
      </c>
      <c r="G24" s="50">
        <v>73.2</v>
      </c>
      <c r="H24" s="50">
        <v>139.07999999999998</v>
      </c>
      <c r="I24" s="51">
        <v>11.299999999999999</v>
      </c>
      <c r="J24" s="52"/>
      <c r="K24" s="52">
        <v>0</v>
      </c>
      <c r="L24" s="53"/>
      <c r="M24" s="54">
        <v>891.5</v>
      </c>
      <c r="N24" s="55">
        <v>1115.08</v>
      </c>
      <c r="O24" s="33" t="s">
        <v>54</v>
      </c>
      <c r="P24" s="60" t="s">
        <v>113</v>
      </c>
      <c r="Q24" s="60" t="s">
        <v>114</v>
      </c>
      <c r="R24" s="61" t="s">
        <v>59</v>
      </c>
      <c r="S24" s="62">
        <v>329111</v>
      </c>
      <c r="T24" s="60" t="s">
        <v>56</v>
      </c>
    </row>
    <row r="25" spans="1:20" x14ac:dyDescent="0.2">
      <c r="A25" s="45">
        <v>21</v>
      </c>
      <c r="B25" s="45" t="s">
        <v>115</v>
      </c>
      <c r="C25" s="46" t="s">
        <v>116</v>
      </c>
      <c r="D25" s="70" t="s">
        <v>82</v>
      </c>
      <c r="E25" s="68">
        <v>1012</v>
      </c>
      <c r="F25" s="52">
        <v>1012</v>
      </c>
      <c r="G25" s="50">
        <v>75.899999999999991</v>
      </c>
      <c r="H25" s="50">
        <v>144.20999999999998</v>
      </c>
      <c r="I25" s="51">
        <v>13.100000000000001</v>
      </c>
      <c r="J25" s="52"/>
      <c r="K25" s="52">
        <v>0</v>
      </c>
      <c r="L25" s="53"/>
      <c r="M25" s="54">
        <v>923</v>
      </c>
      <c r="N25" s="55">
        <v>1156.21</v>
      </c>
      <c r="O25" s="33" t="s">
        <v>54</v>
      </c>
      <c r="P25" s="60" t="s">
        <v>115</v>
      </c>
      <c r="Q25" s="60" t="s">
        <v>116</v>
      </c>
      <c r="R25" s="61" t="s">
        <v>59</v>
      </c>
      <c r="S25" s="62">
        <v>329111</v>
      </c>
      <c r="T25" s="60" t="s">
        <v>56</v>
      </c>
    </row>
    <row r="26" spans="1:20" x14ac:dyDescent="0.2">
      <c r="A26" s="45">
        <v>22</v>
      </c>
      <c r="B26" s="71" t="s">
        <v>117</v>
      </c>
      <c r="C26" s="46" t="s">
        <v>118</v>
      </c>
      <c r="D26" s="70" t="s">
        <v>97</v>
      </c>
      <c r="E26" s="68">
        <v>1000</v>
      </c>
      <c r="F26" s="52">
        <v>1000</v>
      </c>
      <c r="G26" s="50">
        <v>75</v>
      </c>
      <c r="H26" s="50">
        <v>142.5</v>
      </c>
      <c r="I26" s="51">
        <v>12.5</v>
      </c>
      <c r="J26" s="52"/>
      <c r="K26" s="52">
        <v>0</v>
      </c>
      <c r="L26" s="53"/>
      <c r="M26" s="54">
        <v>912.5</v>
      </c>
      <c r="N26" s="55">
        <v>1142.5</v>
      </c>
      <c r="O26" s="33" t="s">
        <v>54</v>
      </c>
      <c r="P26" s="60" t="s">
        <v>117</v>
      </c>
      <c r="Q26" s="60" t="s">
        <v>118</v>
      </c>
      <c r="R26" s="61" t="s">
        <v>59</v>
      </c>
      <c r="S26" s="62">
        <v>323111</v>
      </c>
      <c r="T26" s="60" t="s">
        <v>56</v>
      </c>
    </row>
    <row r="27" spans="1:20" x14ac:dyDescent="0.2">
      <c r="A27" s="45">
        <v>23</v>
      </c>
      <c r="B27" s="71" t="s">
        <v>119</v>
      </c>
      <c r="C27" s="46" t="s">
        <v>120</v>
      </c>
      <c r="D27" s="70" t="s">
        <v>85</v>
      </c>
      <c r="E27" s="68">
        <v>1705</v>
      </c>
      <c r="F27" s="52">
        <v>1705</v>
      </c>
      <c r="G27" s="50">
        <v>127.875</v>
      </c>
      <c r="H27" s="50">
        <v>242.96249999999998</v>
      </c>
      <c r="I27" s="51">
        <v>80.75</v>
      </c>
      <c r="J27" s="52"/>
      <c r="K27" s="52">
        <v>0</v>
      </c>
      <c r="L27" s="53"/>
      <c r="M27" s="54">
        <v>1496.375</v>
      </c>
      <c r="N27" s="55">
        <v>1947.9625000000001</v>
      </c>
      <c r="O27" s="33" t="s">
        <v>54</v>
      </c>
      <c r="P27" s="60" t="s">
        <v>119</v>
      </c>
      <c r="Q27" s="60" t="s">
        <v>120</v>
      </c>
      <c r="R27" s="61" t="s">
        <v>59</v>
      </c>
      <c r="S27" s="62">
        <v>323111</v>
      </c>
      <c r="T27" s="60" t="s">
        <v>56</v>
      </c>
    </row>
    <row r="28" spans="1:20" x14ac:dyDescent="0.2">
      <c r="A28" s="45">
        <v>24</v>
      </c>
      <c r="B28" s="71" t="s">
        <v>121</v>
      </c>
      <c r="C28" s="46" t="s">
        <v>122</v>
      </c>
      <c r="D28" s="70" t="s">
        <v>123</v>
      </c>
      <c r="E28" s="68">
        <v>1633</v>
      </c>
      <c r="F28" s="52">
        <v>1633</v>
      </c>
      <c r="G28" s="50">
        <v>122.47499999999999</v>
      </c>
      <c r="H28" s="50">
        <v>232.70249999999999</v>
      </c>
      <c r="I28" s="51">
        <v>69.95</v>
      </c>
      <c r="J28" s="52"/>
      <c r="K28" s="52">
        <v>0</v>
      </c>
      <c r="L28" s="53"/>
      <c r="M28" s="54">
        <v>1440.575</v>
      </c>
      <c r="N28" s="55">
        <v>1865.7024999999999</v>
      </c>
      <c r="O28" s="33" t="s">
        <v>54</v>
      </c>
      <c r="P28" s="60" t="s">
        <v>121</v>
      </c>
      <c r="Q28" s="60" t="s">
        <v>122</v>
      </c>
      <c r="R28" s="61" t="s">
        <v>59</v>
      </c>
      <c r="S28" s="62">
        <v>323111</v>
      </c>
      <c r="T28" s="60" t="s">
        <v>56</v>
      </c>
    </row>
    <row r="29" spans="1:20" x14ac:dyDescent="0.2">
      <c r="A29" s="45">
        <v>25</v>
      </c>
      <c r="B29" s="71" t="s">
        <v>124</v>
      </c>
      <c r="C29" s="46" t="s">
        <v>125</v>
      </c>
      <c r="D29" s="70" t="s">
        <v>77</v>
      </c>
      <c r="E29" s="68">
        <v>1450</v>
      </c>
      <c r="F29" s="52">
        <v>1450</v>
      </c>
      <c r="G29" s="50">
        <v>108.75</v>
      </c>
      <c r="H29" s="50">
        <v>206.62499999999997</v>
      </c>
      <c r="I29" s="51">
        <v>49.166666666666664</v>
      </c>
      <c r="J29" s="52"/>
      <c r="K29" s="52">
        <v>0</v>
      </c>
      <c r="L29" s="53"/>
      <c r="M29" s="54">
        <v>1292.0833333333333</v>
      </c>
      <c r="N29" s="55">
        <v>1656.625</v>
      </c>
      <c r="O29" s="33" t="s">
        <v>54</v>
      </c>
      <c r="P29" s="60" t="s">
        <v>124</v>
      </c>
      <c r="Q29" s="60" t="s">
        <v>125</v>
      </c>
      <c r="R29" s="61" t="s">
        <v>59</v>
      </c>
      <c r="S29" s="62">
        <v>323111</v>
      </c>
      <c r="T29" s="60" t="s">
        <v>56</v>
      </c>
    </row>
    <row r="30" spans="1:20" x14ac:dyDescent="0.2">
      <c r="A30" s="45">
        <v>26</v>
      </c>
      <c r="B30" s="71" t="s">
        <v>126</v>
      </c>
      <c r="C30" s="46" t="s">
        <v>127</v>
      </c>
      <c r="D30" s="70" t="s">
        <v>128</v>
      </c>
      <c r="E30" s="68">
        <v>615</v>
      </c>
      <c r="F30" s="52">
        <v>615</v>
      </c>
      <c r="G30" s="50">
        <v>46.125</v>
      </c>
      <c r="H30" s="50">
        <v>87.637499999999989</v>
      </c>
      <c r="I30" s="51">
        <v>0</v>
      </c>
      <c r="J30" s="52"/>
      <c r="K30" s="52">
        <v>0</v>
      </c>
      <c r="L30" s="53"/>
      <c r="M30" s="54">
        <v>568.875</v>
      </c>
      <c r="N30" s="55">
        <v>702.63750000000005</v>
      </c>
      <c r="O30" s="33" t="s">
        <v>54</v>
      </c>
      <c r="P30" s="60" t="s">
        <v>126</v>
      </c>
      <c r="Q30" s="60" t="s">
        <v>127</v>
      </c>
      <c r="R30" s="61" t="s">
        <v>59</v>
      </c>
      <c r="S30" s="62">
        <v>325311</v>
      </c>
      <c r="T30" s="72" t="s">
        <v>56</v>
      </c>
    </row>
    <row r="31" spans="1:20" x14ac:dyDescent="0.2">
      <c r="A31" s="45">
        <v>27</v>
      </c>
      <c r="B31" s="71" t="s">
        <v>129</v>
      </c>
      <c r="C31" s="46" t="s">
        <v>130</v>
      </c>
      <c r="D31" s="70" t="s">
        <v>85</v>
      </c>
      <c r="E31" s="68">
        <v>1193</v>
      </c>
      <c r="F31" s="52">
        <v>1193</v>
      </c>
      <c r="G31" s="50">
        <v>89.474999999999994</v>
      </c>
      <c r="H31" s="50">
        <v>170.0025</v>
      </c>
      <c r="I31" s="51">
        <v>23.466666666666669</v>
      </c>
      <c r="J31" s="52"/>
      <c r="K31" s="52">
        <v>0</v>
      </c>
      <c r="L31" s="53"/>
      <c r="M31" s="54">
        <v>1080.0583333333334</v>
      </c>
      <c r="N31" s="55">
        <v>1363.0025000000001</v>
      </c>
      <c r="O31" s="33" t="s">
        <v>54</v>
      </c>
      <c r="P31" s="60" t="s">
        <v>129</v>
      </c>
      <c r="Q31" s="60" t="s">
        <v>130</v>
      </c>
      <c r="R31" s="61" t="s">
        <v>59</v>
      </c>
      <c r="S31" s="62">
        <v>323111</v>
      </c>
      <c r="T31" s="60" t="s">
        <v>56</v>
      </c>
    </row>
    <row r="32" spans="1:20" x14ac:dyDescent="0.2">
      <c r="A32" s="45">
        <v>28</v>
      </c>
      <c r="B32" s="71" t="s">
        <v>131</v>
      </c>
      <c r="C32" s="46" t="s">
        <v>132</v>
      </c>
      <c r="D32" s="70" t="s">
        <v>133</v>
      </c>
      <c r="E32" s="68">
        <v>2272</v>
      </c>
      <c r="F32" s="52">
        <v>2272</v>
      </c>
      <c r="G32" s="50">
        <v>170.4</v>
      </c>
      <c r="H32" s="50">
        <v>323.76</v>
      </c>
      <c r="I32" s="51">
        <v>179.4</v>
      </c>
      <c r="J32" s="52"/>
      <c r="K32" s="52">
        <v>0</v>
      </c>
      <c r="L32" s="53"/>
      <c r="M32" s="54">
        <v>1922.2</v>
      </c>
      <c r="N32" s="55">
        <v>2595.7600000000002</v>
      </c>
      <c r="O32" s="33" t="s">
        <v>54</v>
      </c>
      <c r="P32" s="60" t="s">
        <v>131</v>
      </c>
      <c r="Q32" s="60" t="s">
        <v>132</v>
      </c>
      <c r="R32" s="61" t="s">
        <v>59</v>
      </c>
      <c r="S32" s="62">
        <v>323111</v>
      </c>
      <c r="T32" s="60" t="s">
        <v>56</v>
      </c>
    </row>
    <row r="33" spans="1:20" x14ac:dyDescent="0.2">
      <c r="A33" s="45">
        <v>29</v>
      </c>
      <c r="B33" s="71" t="s">
        <v>134</v>
      </c>
      <c r="C33" s="46" t="s">
        <v>135</v>
      </c>
      <c r="D33" s="70" t="s">
        <v>136</v>
      </c>
      <c r="E33" s="68">
        <v>815</v>
      </c>
      <c r="F33" s="52">
        <v>815</v>
      </c>
      <c r="G33" s="50">
        <v>61.125</v>
      </c>
      <c r="H33" s="50">
        <v>116.13749999999999</v>
      </c>
      <c r="I33" s="51">
        <v>3.25</v>
      </c>
      <c r="J33" s="52"/>
      <c r="K33" s="52">
        <v>0</v>
      </c>
      <c r="L33" s="53"/>
      <c r="M33" s="54">
        <v>750.625</v>
      </c>
      <c r="N33" s="55">
        <v>931.13750000000005</v>
      </c>
      <c r="O33" s="33" t="s">
        <v>54</v>
      </c>
      <c r="P33" s="60" t="s">
        <v>134</v>
      </c>
      <c r="Q33" s="60" t="s">
        <v>135</v>
      </c>
      <c r="R33" s="61" t="s">
        <v>137</v>
      </c>
      <c r="S33" s="62">
        <v>311311</v>
      </c>
      <c r="T33" s="60" t="s">
        <v>138</v>
      </c>
    </row>
    <row r="34" spans="1:20" x14ac:dyDescent="0.2">
      <c r="A34" s="45">
        <v>30</v>
      </c>
      <c r="B34" s="71" t="s">
        <v>139</v>
      </c>
      <c r="C34" s="46" t="s">
        <v>140</v>
      </c>
      <c r="D34" s="70" t="s">
        <v>65</v>
      </c>
      <c r="E34" s="68">
        <v>1022</v>
      </c>
      <c r="F34" s="52">
        <v>1022</v>
      </c>
      <c r="G34" s="50">
        <v>76.649999999999991</v>
      </c>
      <c r="H34" s="50">
        <v>145.63499999999999</v>
      </c>
      <c r="I34" s="51">
        <v>0</v>
      </c>
      <c r="J34" s="52"/>
      <c r="K34" s="52">
        <v>0</v>
      </c>
      <c r="L34" s="53"/>
      <c r="M34" s="54">
        <v>945.35</v>
      </c>
      <c r="N34" s="55">
        <v>1167.635</v>
      </c>
      <c r="O34" s="33" t="s">
        <v>69</v>
      </c>
      <c r="P34" s="60" t="s">
        <v>139</v>
      </c>
      <c r="Q34" s="60" t="s">
        <v>140</v>
      </c>
      <c r="R34" s="61" t="s">
        <v>59</v>
      </c>
      <c r="S34" s="62">
        <v>323111</v>
      </c>
      <c r="T34" s="60" t="s">
        <v>56</v>
      </c>
    </row>
    <row r="35" spans="1:20" x14ac:dyDescent="0.2">
      <c r="A35" s="45">
        <v>31</v>
      </c>
      <c r="B35" s="71" t="s">
        <v>141</v>
      </c>
      <c r="C35" s="46" t="s">
        <v>142</v>
      </c>
      <c r="D35" s="70" t="s">
        <v>143</v>
      </c>
      <c r="E35" s="68">
        <v>2800</v>
      </c>
      <c r="F35" s="52">
        <v>2800</v>
      </c>
      <c r="G35" s="50">
        <v>210</v>
      </c>
      <c r="H35" s="50">
        <v>398.99999999999994</v>
      </c>
      <c r="I35" s="51">
        <v>135</v>
      </c>
      <c r="J35" s="52"/>
      <c r="K35" s="52">
        <v>0</v>
      </c>
      <c r="L35" s="53"/>
      <c r="M35" s="54">
        <v>2455</v>
      </c>
      <c r="N35" s="55">
        <v>3199</v>
      </c>
      <c r="O35" s="33" t="s">
        <v>69</v>
      </c>
      <c r="P35" s="60" t="s">
        <v>141</v>
      </c>
      <c r="Q35" s="60" t="s">
        <v>142</v>
      </c>
      <c r="R35" s="61" t="s">
        <v>59</v>
      </c>
      <c r="S35" s="62">
        <v>323111</v>
      </c>
      <c r="T35" s="60" t="s">
        <v>56</v>
      </c>
    </row>
    <row r="36" spans="1:20" x14ac:dyDescent="0.2">
      <c r="A36" s="45">
        <v>32</v>
      </c>
      <c r="B36" s="71" t="s">
        <v>144</v>
      </c>
      <c r="C36" s="46" t="s">
        <v>145</v>
      </c>
      <c r="D36" s="70" t="s">
        <v>65</v>
      </c>
      <c r="E36" s="68">
        <v>1065</v>
      </c>
      <c r="F36" s="52">
        <v>1065</v>
      </c>
      <c r="G36" s="50">
        <v>79.875</v>
      </c>
      <c r="H36" s="50">
        <v>151.76249999999999</v>
      </c>
      <c r="I36" s="51">
        <v>15.75</v>
      </c>
      <c r="J36" s="52"/>
      <c r="K36" s="52">
        <v>0</v>
      </c>
      <c r="L36" s="53"/>
      <c r="M36" s="54">
        <v>969.375</v>
      </c>
      <c r="N36" s="55">
        <v>1216.7625</v>
      </c>
      <c r="O36" s="33" t="s">
        <v>54</v>
      </c>
      <c r="P36" s="60" t="s">
        <v>144</v>
      </c>
      <c r="Q36" s="60" t="s">
        <v>145</v>
      </c>
      <c r="R36" s="61" t="s">
        <v>59</v>
      </c>
      <c r="S36" s="62">
        <v>323111</v>
      </c>
      <c r="T36" s="60" t="s">
        <v>56</v>
      </c>
    </row>
    <row r="37" spans="1:20" x14ac:dyDescent="0.2">
      <c r="A37" s="45">
        <v>33</v>
      </c>
      <c r="B37" s="71" t="s">
        <v>146</v>
      </c>
      <c r="C37" s="46" t="s">
        <v>147</v>
      </c>
      <c r="D37" s="70" t="s">
        <v>148</v>
      </c>
      <c r="E37" s="68">
        <v>1600</v>
      </c>
      <c r="F37" s="52">
        <v>1600</v>
      </c>
      <c r="G37" s="50">
        <v>120</v>
      </c>
      <c r="H37" s="50">
        <v>227.99999999999997</v>
      </c>
      <c r="I37" s="51">
        <v>5</v>
      </c>
      <c r="J37" s="52"/>
      <c r="K37" s="52">
        <v>0</v>
      </c>
      <c r="L37" s="53"/>
      <c r="M37" s="54">
        <v>1475</v>
      </c>
      <c r="N37" s="55">
        <v>1828</v>
      </c>
      <c r="O37" s="33" t="s">
        <v>69</v>
      </c>
      <c r="P37" s="60" t="s">
        <v>146</v>
      </c>
      <c r="Q37" s="60" t="s">
        <v>147</v>
      </c>
      <c r="R37" s="61" t="s">
        <v>101</v>
      </c>
      <c r="S37" s="62">
        <v>349311</v>
      </c>
      <c r="T37" s="60" t="s">
        <v>102</v>
      </c>
    </row>
    <row r="38" spans="1:20" x14ac:dyDescent="0.2">
      <c r="A38" s="45">
        <v>34</v>
      </c>
      <c r="B38" s="71" t="s">
        <v>149</v>
      </c>
      <c r="C38" s="46" t="s">
        <v>150</v>
      </c>
      <c r="D38" s="70" t="s">
        <v>143</v>
      </c>
      <c r="E38" s="68">
        <v>2740</v>
      </c>
      <c r="F38" s="52">
        <v>2740</v>
      </c>
      <c r="G38" s="50">
        <v>205.5</v>
      </c>
      <c r="H38" s="50">
        <v>390.45</v>
      </c>
      <c r="I38" s="51">
        <v>123.5</v>
      </c>
      <c r="J38" s="52"/>
      <c r="K38" s="52">
        <v>0</v>
      </c>
      <c r="L38" s="53"/>
      <c r="M38" s="54">
        <v>2411</v>
      </c>
      <c r="N38" s="55">
        <v>3130.45</v>
      </c>
      <c r="O38" s="33" t="s">
        <v>69</v>
      </c>
      <c r="P38" s="60" t="s">
        <v>149</v>
      </c>
      <c r="Q38" s="60" t="s">
        <v>150</v>
      </c>
      <c r="R38" s="61" t="s">
        <v>59</v>
      </c>
      <c r="S38" s="62">
        <v>323111</v>
      </c>
      <c r="T38" s="60" t="s">
        <v>56</v>
      </c>
    </row>
    <row r="39" spans="1:20" x14ac:dyDescent="0.2">
      <c r="A39" s="45">
        <v>35</v>
      </c>
      <c r="B39" s="71" t="s">
        <v>151</v>
      </c>
      <c r="C39" s="46" t="s">
        <v>152</v>
      </c>
      <c r="D39" s="70" t="s">
        <v>143</v>
      </c>
      <c r="E39" s="68">
        <v>2270</v>
      </c>
      <c r="F39" s="52">
        <v>2270</v>
      </c>
      <c r="G39" s="50">
        <v>170.25</v>
      </c>
      <c r="H39" s="50">
        <v>323.47499999999997</v>
      </c>
      <c r="I39" s="51">
        <v>56.166666666666664</v>
      </c>
      <c r="J39" s="52"/>
      <c r="K39" s="52">
        <v>0</v>
      </c>
      <c r="L39" s="53"/>
      <c r="M39" s="54">
        <v>2043.5833333333333</v>
      </c>
      <c r="N39" s="55">
        <v>2593.4749999999999</v>
      </c>
      <c r="O39" s="33" t="s">
        <v>69</v>
      </c>
      <c r="P39" s="60" t="s">
        <v>151</v>
      </c>
      <c r="Q39" s="60" t="s">
        <v>152</v>
      </c>
      <c r="R39" s="61" t="s">
        <v>59</v>
      </c>
      <c r="S39" s="62">
        <v>323111</v>
      </c>
      <c r="T39" s="60" t="s">
        <v>56</v>
      </c>
    </row>
    <row r="40" spans="1:20" x14ac:dyDescent="0.2">
      <c r="A40" s="45">
        <v>36</v>
      </c>
      <c r="B40" s="71" t="s">
        <v>153</v>
      </c>
      <c r="C40" s="46" t="s">
        <v>154</v>
      </c>
      <c r="D40" s="70" t="s">
        <v>97</v>
      </c>
      <c r="E40" s="68">
        <v>900</v>
      </c>
      <c r="F40" s="52">
        <v>900</v>
      </c>
      <c r="G40" s="50">
        <v>67.5</v>
      </c>
      <c r="H40" s="50">
        <v>128.25</v>
      </c>
      <c r="I40" s="51">
        <v>7.5</v>
      </c>
      <c r="J40" s="52"/>
      <c r="K40" s="52">
        <v>0</v>
      </c>
      <c r="L40" s="53"/>
      <c r="M40" s="54">
        <v>825</v>
      </c>
      <c r="N40" s="55">
        <v>1028.25</v>
      </c>
      <c r="O40" s="33" t="s">
        <v>54</v>
      </c>
      <c r="P40" s="60" t="s">
        <v>153</v>
      </c>
      <c r="Q40" s="60" t="s">
        <v>154</v>
      </c>
      <c r="R40" s="61" t="s">
        <v>59</v>
      </c>
      <c r="S40" s="62">
        <v>323111</v>
      </c>
      <c r="T40" s="60" t="s">
        <v>56</v>
      </c>
    </row>
    <row r="41" spans="1:20" x14ac:dyDescent="0.2">
      <c r="A41" s="45">
        <v>37</v>
      </c>
      <c r="B41" s="71" t="s">
        <v>155</v>
      </c>
      <c r="C41" s="46" t="s">
        <v>156</v>
      </c>
      <c r="D41" s="70" t="s">
        <v>157</v>
      </c>
      <c r="E41" s="69">
        <v>1193</v>
      </c>
      <c r="F41" s="49">
        <v>1193</v>
      </c>
      <c r="G41" s="50">
        <v>89.474999999999994</v>
      </c>
      <c r="H41" s="50">
        <v>170.0025</v>
      </c>
      <c r="I41" s="51">
        <v>23.466666666666669</v>
      </c>
      <c r="J41" s="52"/>
      <c r="K41" s="52">
        <v>0</v>
      </c>
      <c r="L41" s="53"/>
      <c r="M41" s="54">
        <v>1080.0583333333334</v>
      </c>
      <c r="N41" s="55">
        <v>1363.0025000000001</v>
      </c>
      <c r="O41" s="33" t="s">
        <v>54</v>
      </c>
      <c r="P41" s="60" t="s">
        <v>155</v>
      </c>
      <c r="Q41" s="60" t="s">
        <v>156</v>
      </c>
      <c r="R41" s="61" t="s">
        <v>55</v>
      </c>
      <c r="S41" s="62">
        <v>325311</v>
      </c>
      <c r="T41" s="72" t="s">
        <v>56</v>
      </c>
    </row>
    <row r="42" spans="1:20" x14ac:dyDescent="0.2">
      <c r="A42" s="45">
        <v>38</v>
      </c>
      <c r="B42" s="71" t="s">
        <v>158</v>
      </c>
      <c r="C42" s="46" t="s">
        <v>159</v>
      </c>
      <c r="D42" s="70" t="s">
        <v>160</v>
      </c>
      <c r="E42" s="68">
        <v>900</v>
      </c>
      <c r="F42" s="52">
        <v>900</v>
      </c>
      <c r="G42" s="50">
        <v>67.5</v>
      </c>
      <c r="H42" s="50">
        <v>128.25</v>
      </c>
      <c r="I42" s="51">
        <v>7.5</v>
      </c>
      <c r="J42" s="52"/>
      <c r="K42" s="52">
        <v>0</v>
      </c>
      <c r="L42" s="53"/>
      <c r="M42" s="54">
        <v>825</v>
      </c>
      <c r="N42" s="55">
        <v>1028.25</v>
      </c>
      <c r="O42" s="33" t="s">
        <v>54</v>
      </c>
      <c r="P42" s="60" t="s">
        <v>158</v>
      </c>
      <c r="Q42" s="60" t="s">
        <v>159</v>
      </c>
      <c r="R42" s="61" t="s">
        <v>55</v>
      </c>
      <c r="S42" s="62">
        <v>323111</v>
      </c>
      <c r="T42" s="60" t="s">
        <v>56</v>
      </c>
    </row>
    <row r="43" spans="1:20" x14ac:dyDescent="0.2">
      <c r="A43" s="45">
        <v>39</v>
      </c>
      <c r="B43" s="71" t="s">
        <v>161</v>
      </c>
      <c r="C43" s="73" t="s">
        <v>162</v>
      </c>
      <c r="D43" s="70" t="s">
        <v>163</v>
      </c>
      <c r="E43" s="68">
        <v>450</v>
      </c>
      <c r="F43" s="52">
        <v>450</v>
      </c>
      <c r="G43" s="50">
        <v>33.75</v>
      </c>
      <c r="H43" s="50">
        <v>64.125</v>
      </c>
      <c r="I43" s="51">
        <v>0</v>
      </c>
      <c r="J43" s="52"/>
      <c r="K43" s="52">
        <v>0</v>
      </c>
      <c r="L43" s="53"/>
      <c r="M43" s="54">
        <v>416.25</v>
      </c>
      <c r="N43" s="55">
        <v>514.125</v>
      </c>
      <c r="O43" s="33" t="s">
        <v>69</v>
      </c>
      <c r="P43" s="60" t="s">
        <v>161</v>
      </c>
      <c r="Q43" s="60" t="s">
        <v>162</v>
      </c>
      <c r="R43" s="61" t="s">
        <v>59</v>
      </c>
      <c r="S43" s="62">
        <v>134311</v>
      </c>
      <c r="T43" s="60" t="s">
        <v>164</v>
      </c>
    </row>
    <row r="44" spans="1:20" x14ac:dyDescent="0.2">
      <c r="A44" s="45">
        <v>40</v>
      </c>
      <c r="B44" s="71" t="s">
        <v>165</v>
      </c>
      <c r="C44" s="46" t="s">
        <v>166</v>
      </c>
      <c r="D44" s="70" t="s">
        <v>167</v>
      </c>
      <c r="E44" s="68">
        <v>1700</v>
      </c>
      <c r="F44" s="52">
        <v>1700</v>
      </c>
      <c r="G44" s="50">
        <v>127.5</v>
      </c>
      <c r="H44" s="50">
        <v>242.24999999999997</v>
      </c>
      <c r="I44" s="51">
        <v>10</v>
      </c>
      <c r="J44" s="52"/>
      <c r="K44" s="52">
        <v>0</v>
      </c>
      <c r="L44" s="53"/>
      <c r="M44" s="54">
        <v>1562.5</v>
      </c>
      <c r="N44" s="55">
        <v>1942.25</v>
      </c>
      <c r="O44" s="33" t="s">
        <v>69</v>
      </c>
      <c r="P44" s="60" t="s">
        <v>165</v>
      </c>
      <c r="Q44" s="60" t="s">
        <v>166</v>
      </c>
      <c r="R44" s="61" t="s">
        <v>55</v>
      </c>
      <c r="S44" s="62">
        <v>323111</v>
      </c>
      <c r="T44" s="60" t="s">
        <v>56</v>
      </c>
    </row>
    <row r="45" spans="1:20" x14ac:dyDescent="0.2">
      <c r="A45" s="45">
        <v>41</v>
      </c>
      <c r="B45" s="71" t="s">
        <v>168</v>
      </c>
      <c r="C45" s="46" t="s">
        <v>169</v>
      </c>
      <c r="D45" s="70" t="s">
        <v>170</v>
      </c>
      <c r="E45" s="74">
        <v>350</v>
      </c>
      <c r="F45" s="52">
        <v>350</v>
      </c>
      <c r="G45" s="50">
        <v>26.25</v>
      </c>
      <c r="H45" s="50">
        <v>49.874999999999993</v>
      </c>
      <c r="I45" s="51">
        <v>0</v>
      </c>
      <c r="J45" s="52"/>
      <c r="K45" s="52">
        <v>0</v>
      </c>
      <c r="L45" s="53"/>
      <c r="M45" s="54">
        <v>323.75</v>
      </c>
      <c r="N45" s="55">
        <v>399.875</v>
      </c>
      <c r="O45" s="33" t="s">
        <v>54</v>
      </c>
      <c r="P45" s="60" t="s">
        <v>168</v>
      </c>
      <c r="Q45" s="60" t="s">
        <v>169</v>
      </c>
      <c r="R45" s="61" t="s">
        <v>55</v>
      </c>
      <c r="S45" s="62">
        <v>325311</v>
      </c>
      <c r="T45" s="72" t="s">
        <v>56</v>
      </c>
    </row>
    <row r="46" spans="1:20" x14ac:dyDescent="0.2">
      <c r="A46" s="45">
        <v>42</v>
      </c>
      <c r="B46" s="71" t="s">
        <v>171</v>
      </c>
      <c r="C46" s="46" t="s">
        <v>172</v>
      </c>
      <c r="D46" s="75" t="s">
        <v>53</v>
      </c>
      <c r="E46" s="74">
        <v>700</v>
      </c>
      <c r="F46" s="52">
        <v>700</v>
      </c>
      <c r="G46" s="50">
        <v>52.5</v>
      </c>
      <c r="H46" s="50">
        <v>99.749999999999986</v>
      </c>
      <c r="I46" s="51">
        <v>0</v>
      </c>
      <c r="J46" s="52"/>
      <c r="K46" s="52">
        <v>0</v>
      </c>
      <c r="L46" s="53"/>
      <c r="M46" s="54">
        <v>647.5</v>
      </c>
      <c r="N46" s="55">
        <v>799.75</v>
      </c>
      <c r="O46" s="33" t="s">
        <v>54</v>
      </c>
      <c r="P46" s="60" t="s">
        <v>171</v>
      </c>
      <c r="Q46" s="60" t="s">
        <v>172</v>
      </c>
      <c r="R46" s="61" t="s">
        <v>59</v>
      </c>
      <c r="S46" s="62">
        <v>329111</v>
      </c>
      <c r="T46" s="60" t="s">
        <v>56</v>
      </c>
    </row>
    <row r="47" spans="1:20" x14ac:dyDescent="0.2">
      <c r="A47" s="45">
        <v>43</v>
      </c>
      <c r="B47" s="71" t="s">
        <v>173</v>
      </c>
      <c r="C47" s="46" t="s">
        <v>174</v>
      </c>
      <c r="D47" s="75" t="s">
        <v>175</v>
      </c>
      <c r="E47" s="74">
        <v>2300</v>
      </c>
      <c r="F47" s="52">
        <v>2300</v>
      </c>
      <c r="G47" s="50">
        <v>172.5</v>
      </c>
      <c r="H47" s="50">
        <v>327.75</v>
      </c>
      <c r="I47" s="51">
        <v>185</v>
      </c>
      <c r="J47" s="52"/>
      <c r="K47" s="52">
        <v>0</v>
      </c>
      <c r="L47" s="53"/>
      <c r="M47" s="54">
        <v>1942.5</v>
      </c>
      <c r="N47" s="55">
        <v>2627.75</v>
      </c>
      <c r="O47" s="33" t="s">
        <v>54</v>
      </c>
      <c r="P47" s="60" t="s">
        <v>176</v>
      </c>
      <c r="Q47" s="60" t="s">
        <v>174</v>
      </c>
      <c r="R47" s="61" t="s">
        <v>59</v>
      </c>
      <c r="S47" s="62">
        <v>111111</v>
      </c>
      <c r="T47" s="60" t="s">
        <v>177</v>
      </c>
    </row>
    <row r="48" spans="1:20" x14ac:dyDescent="0.2">
      <c r="A48" s="45">
        <v>44</v>
      </c>
      <c r="B48" s="71" t="s">
        <v>178</v>
      </c>
      <c r="C48" s="46" t="s">
        <v>179</v>
      </c>
      <c r="D48" s="76" t="s">
        <v>180</v>
      </c>
      <c r="E48" s="74">
        <v>480</v>
      </c>
      <c r="F48" s="52">
        <v>480</v>
      </c>
      <c r="G48" s="50">
        <v>36</v>
      </c>
      <c r="H48" s="50">
        <v>68.399999999999991</v>
      </c>
      <c r="I48" s="51">
        <v>0</v>
      </c>
      <c r="J48" s="52"/>
      <c r="K48" s="52">
        <v>0</v>
      </c>
      <c r="L48" s="53"/>
      <c r="M48" s="54">
        <v>444</v>
      </c>
      <c r="N48" s="55">
        <v>548.4</v>
      </c>
      <c r="O48" s="33" t="s">
        <v>54</v>
      </c>
      <c r="P48" s="60" t="s">
        <v>178</v>
      </c>
      <c r="Q48" s="60" t="s">
        <v>179</v>
      </c>
      <c r="R48" s="61" t="s">
        <v>59</v>
      </c>
      <c r="S48" s="62">
        <v>329111</v>
      </c>
      <c r="T48" s="60" t="s">
        <v>56</v>
      </c>
    </row>
    <row r="49" spans="1:22" x14ac:dyDescent="0.2">
      <c r="A49" s="45">
        <v>46</v>
      </c>
      <c r="B49" s="71" t="s">
        <v>184</v>
      </c>
      <c r="C49" s="46" t="s">
        <v>185</v>
      </c>
      <c r="D49" s="75" t="s">
        <v>186</v>
      </c>
      <c r="E49" s="74">
        <v>816</v>
      </c>
      <c r="F49" s="52">
        <v>816</v>
      </c>
      <c r="G49" s="50">
        <v>61.199999999999996</v>
      </c>
      <c r="H49" s="50">
        <v>116.27999999999999</v>
      </c>
      <c r="I49" s="51">
        <v>3.3000000000000003</v>
      </c>
      <c r="J49" s="52"/>
      <c r="K49" s="52">
        <v>0</v>
      </c>
      <c r="L49" s="53"/>
      <c r="M49" s="54">
        <v>751.5</v>
      </c>
      <c r="N49" s="55">
        <v>932.28</v>
      </c>
      <c r="O49" s="33" t="s">
        <v>54</v>
      </c>
      <c r="P49" s="60" t="s">
        <v>184</v>
      </c>
      <c r="Q49" s="60" t="s">
        <v>185</v>
      </c>
      <c r="R49" s="61" t="s">
        <v>59</v>
      </c>
      <c r="S49" s="62">
        <v>329111</v>
      </c>
      <c r="T49" s="60" t="s">
        <v>56</v>
      </c>
    </row>
    <row r="50" spans="1:22" x14ac:dyDescent="0.2">
      <c r="A50" s="45">
        <v>47</v>
      </c>
      <c r="B50" s="71" t="s">
        <v>187</v>
      </c>
      <c r="C50" s="46" t="s">
        <v>188</v>
      </c>
      <c r="D50" s="75" t="s">
        <v>189</v>
      </c>
      <c r="E50" s="74">
        <v>600</v>
      </c>
      <c r="F50" s="52">
        <v>600</v>
      </c>
      <c r="G50" s="50">
        <v>45</v>
      </c>
      <c r="H50" s="50">
        <v>85.499999999999986</v>
      </c>
      <c r="I50" s="51">
        <v>0</v>
      </c>
      <c r="J50" s="52"/>
      <c r="K50" s="52">
        <v>0</v>
      </c>
      <c r="L50" s="53"/>
      <c r="M50" s="54">
        <v>555</v>
      </c>
      <c r="N50" s="55">
        <v>685.5</v>
      </c>
      <c r="O50" s="33" t="s">
        <v>54</v>
      </c>
      <c r="P50" s="60" t="s">
        <v>187</v>
      </c>
      <c r="Q50" s="60" t="s">
        <v>188</v>
      </c>
      <c r="R50" s="61" t="s">
        <v>59</v>
      </c>
      <c r="S50" s="62">
        <v>131111</v>
      </c>
      <c r="T50" s="60" t="s">
        <v>164</v>
      </c>
    </row>
    <row r="51" spans="1:22" x14ac:dyDescent="0.2">
      <c r="A51" s="45">
        <v>48</v>
      </c>
      <c r="B51" s="71" t="s">
        <v>190</v>
      </c>
      <c r="C51" s="46" t="s">
        <v>191</v>
      </c>
      <c r="D51" s="75" t="s">
        <v>186</v>
      </c>
      <c r="E51" s="74">
        <v>900</v>
      </c>
      <c r="F51" s="52">
        <v>900</v>
      </c>
      <c r="G51" s="50">
        <v>67.5</v>
      </c>
      <c r="H51" s="50">
        <v>128.25</v>
      </c>
      <c r="I51" s="51">
        <v>7.5</v>
      </c>
      <c r="J51" s="52"/>
      <c r="K51" s="52">
        <v>0</v>
      </c>
      <c r="L51" s="53"/>
      <c r="M51" s="54">
        <v>825</v>
      </c>
      <c r="N51" s="55">
        <v>1028.25</v>
      </c>
      <c r="O51" s="33" t="s">
        <v>54</v>
      </c>
      <c r="P51" s="60" t="s">
        <v>190</v>
      </c>
      <c r="Q51" s="60" t="s">
        <v>191</v>
      </c>
      <c r="R51" s="61" t="s">
        <v>59</v>
      </c>
      <c r="S51" s="62">
        <v>329111</v>
      </c>
      <c r="T51" s="60" t="s">
        <v>56</v>
      </c>
    </row>
    <row r="52" spans="1:22" x14ac:dyDescent="0.2">
      <c r="A52" s="45">
        <v>50</v>
      </c>
      <c r="B52" s="71" t="s">
        <v>195</v>
      </c>
      <c r="C52" s="46" t="s">
        <v>196</v>
      </c>
      <c r="D52" s="75" t="s">
        <v>186</v>
      </c>
      <c r="E52" s="74">
        <v>945</v>
      </c>
      <c r="F52" s="52">
        <v>945</v>
      </c>
      <c r="G52" s="50">
        <v>70.875</v>
      </c>
      <c r="H52" s="50">
        <v>134.66249999999999</v>
      </c>
      <c r="I52" s="51">
        <v>9.75</v>
      </c>
      <c r="J52" s="52"/>
      <c r="K52" s="52">
        <v>0</v>
      </c>
      <c r="L52" s="53"/>
      <c r="M52" s="54">
        <v>864.375</v>
      </c>
      <c r="N52" s="55">
        <v>1079.6624999999999</v>
      </c>
      <c r="O52" s="33" t="s">
        <v>54</v>
      </c>
      <c r="P52" s="60" t="s">
        <v>195</v>
      </c>
      <c r="Q52" s="60" t="s">
        <v>196</v>
      </c>
      <c r="R52" s="61" t="s">
        <v>59</v>
      </c>
      <c r="S52" s="62">
        <v>329111</v>
      </c>
      <c r="T52" s="60" t="s">
        <v>56</v>
      </c>
    </row>
    <row r="53" spans="1:22" x14ac:dyDescent="0.2">
      <c r="A53" s="45">
        <v>51</v>
      </c>
      <c r="B53" s="71" t="s">
        <v>197</v>
      </c>
      <c r="C53" s="46" t="s">
        <v>198</v>
      </c>
      <c r="D53" s="75" t="s">
        <v>199</v>
      </c>
      <c r="E53" s="74">
        <v>1420</v>
      </c>
      <c r="F53" s="52">
        <v>1420</v>
      </c>
      <c r="G53" s="50">
        <v>106.5</v>
      </c>
      <c r="H53" s="50">
        <v>202.35</v>
      </c>
      <c r="I53" s="51">
        <v>46.166666666666664</v>
      </c>
      <c r="J53" s="52"/>
      <c r="K53" s="52">
        <v>0</v>
      </c>
      <c r="L53" s="53"/>
      <c r="M53" s="54">
        <v>1267.3333333333333</v>
      </c>
      <c r="N53" s="55">
        <v>1622.35</v>
      </c>
      <c r="O53" s="33" t="s">
        <v>54</v>
      </c>
      <c r="P53" s="60" t="s">
        <v>197</v>
      </c>
      <c r="Q53" s="60" t="s">
        <v>198</v>
      </c>
      <c r="R53" s="61" t="s">
        <v>55</v>
      </c>
      <c r="S53" s="62">
        <v>323111</v>
      </c>
      <c r="T53" s="60" t="s">
        <v>56</v>
      </c>
    </row>
    <row r="54" spans="1:22" x14ac:dyDescent="0.2">
      <c r="A54" s="45">
        <v>52</v>
      </c>
      <c r="B54" s="71" t="s">
        <v>200</v>
      </c>
      <c r="C54" s="46" t="s">
        <v>201</v>
      </c>
      <c r="D54" s="75" t="s">
        <v>133</v>
      </c>
      <c r="E54" s="74">
        <v>1846</v>
      </c>
      <c r="F54" s="74">
        <v>1846</v>
      </c>
      <c r="G54" s="50">
        <v>138.44999999999999</v>
      </c>
      <c r="H54" s="50">
        <v>263.05499999999995</v>
      </c>
      <c r="I54" s="51">
        <v>17.3</v>
      </c>
      <c r="J54" s="52"/>
      <c r="K54" s="52">
        <v>0</v>
      </c>
      <c r="L54" s="53"/>
      <c r="M54" s="54">
        <v>1690.25</v>
      </c>
      <c r="N54" s="55">
        <v>2109.0549999999998</v>
      </c>
      <c r="O54" s="33" t="s">
        <v>69</v>
      </c>
      <c r="P54" s="60" t="s">
        <v>200</v>
      </c>
      <c r="Q54" s="60" t="s">
        <v>201</v>
      </c>
      <c r="R54" s="61" t="s">
        <v>59</v>
      </c>
      <c r="S54" s="62">
        <v>323111</v>
      </c>
      <c r="T54" s="60" t="s">
        <v>56</v>
      </c>
    </row>
    <row r="55" spans="1:22" x14ac:dyDescent="0.2">
      <c r="A55" s="45">
        <v>53</v>
      </c>
      <c r="B55" s="71" t="s">
        <v>202</v>
      </c>
      <c r="C55" s="46" t="s">
        <v>203</v>
      </c>
      <c r="D55" s="76" t="s">
        <v>204</v>
      </c>
      <c r="E55" s="74">
        <v>320</v>
      </c>
      <c r="F55" s="52">
        <v>320</v>
      </c>
      <c r="G55" s="50">
        <v>24</v>
      </c>
      <c r="H55" s="50">
        <v>45.599999999999994</v>
      </c>
      <c r="I55" s="51">
        <v>0</v>
      </c>
      <c r="J55" s="52"/>
      <c r="K55" s="52">
        <v>0</v>
      </c>
      <c r="L55" s="53"/>
      <c r="M55" s="54">
        <v>296</v>
      </c>
      <c r="N55" s="55">
        <v>365.6</v>
      </c>
      <c r="O55" s="33" t="s">
        <v>54</v>
      </c>
      <c r="P55" s="60" t="s">
        <v>202</v>
      </c>
      <c r="Q55" s="60" t="s">
        <v>203</v>
      </c>
      <c r="R55" s="61" t="s">
        <v>59</v>
      </c>
      <c r="S55" s="77">
        <v>326111</v>
      </c>
      <c r="T55" s="60" t="s">
        <v>56</v>
      </c>
    </row>
    <row r="56" spans="1:22" x14ac:dyDescent="0.2">
      <c r="A56" s="45">
        <v>54</v>
      </c>
      <c r="B56" s="71" t="s">
        <v>205</v>
      </c>
      <c r="C56" s="46" t="s">
        <v>206</v>
      </c>
      <c r="D56" s="78" t="s">
        <v>207</v>
      </c>
      <c r="E56" s="79">
        <v>1562</v>
      </c>
      <c r="F56" s="52">
        <v>1562</v>
      </c>
      <c r="G56" s="50">
        <v>117.14999999999999</v>
      </c>
      <c r="H56" s="50">
        <v>222.58499999999998</v>
      </c>
      <c r="I56" s="51">
        <v>60.366666666666674</v>
      </c>
      <c r="J56" s="52"/>
      <c r="K56" s="52">
        <v>0</v>
      </c>
      <c r="L56" s="53"/>
      <c r="M56" s="54">
        <v>1384.4833333333333</v>
      </c>
      <c r="N56" s="55">
        <v>1784.585</v>
      </c>
      <c r="O56" s="33" t="s">
        <v>54</v>
      </c>
      <c r="P56" s="60" t="s">
        <v>205</v>
      </c>
      <c r="Q56" s="60" t="s">
        <v>206</v>
      </c>
      <c r="R56" s="61" t="s">
        <v>59</v>
      </c>
      <c r="S56" s="77">
        <v>329111</v>
      </c>
      <c r="T56" s="60" t="s">
        <v>56</v>
      </c>
      <c r="U56">
        <v>1948.9433333333334</v>
      </c>
      <c r="V56">
        <v>564.46</v>
      </c>
    </row>
    <row r="57" spans="1:22" x14ac:dyDescent="0.2">
      <c r="A57" s="45">
        <v>55</v>
      </c>
      <c r="B57" s="71" t="s">
        <v>208</v>
      </c>
      <c r="C57" s="46" t="s">
        <v>209</v>
      </c>
      <c r="D57" s="76" t="s">
        <v>210</v>
      </c>
      <c r="E57" s="74">
        <v>2980</v>
      </c>
      <c r="F57" s="52">
        <v>2980</v>
      </c>
      <c r="G57" s="50">
        <v>223.5</v>
      </c>
      <c r="H57" s="50">
        <v>424.65</v>
      </c>
      <c r="I57" s="51">
        <v>171</v>
      </c>
      <c r="J57" s="52"/>
      <c r="K57" s="52">
        <v>0</v>
      </c>
      <c r="L57" s="53"/>
      <c r="M57" s="54">
        <v>2585.5</v>
      </c>
      <c r="N57" s="55">
        <v>3404.65</v>
      </c>
      <c r="O57" s="33" t="s">
        <v>69</v>
      </c>
      <c r="P57" s="60" t="s">
        <v>208</v>
      </c>
      <c r="Q57" s="60" t="s">
        <v>209</v>
      </c>
      <c r="R57" s="61" t="s">
        <v>59</v>
      </c>
      <c r="S57" s="77">
        <v>329111</v>
      </c>
      <c r="T57" s="60" t="s">
        <v>56</v>
      </c>
    </row>
    <row r="58" spans="1:22" x14ac:dyDescent="0.2">
      <c r="A58" s="45">
        <v>56</v>
      </c>
      <c r="B58" s="71" t="s">
        <v>211</v>
      </c>
      <c r="C58" s="46" t="s">
        <v>212</v>
      </c>
      <c r="D58" s="76" t="s">
        <v>213</v>
      </c>
      <c r="E58" s="74">
        <v>1350</v>
      </c>
      <c r="F58" s="52">
        <v>1350</v>
      </c>
      <c r="G58" s="50">
        <v>101.25</v>
      </c>
      <c r="H58" s="50">
        <v>192.37499999999997</v>
      </c>
      <c r="I58" s="51">
        <v>39.166666666666664</v>
      </c>
      <c r="J58" s="52"/>
      <c r="K58" s="52">
        <v>0</v>
      </c>
      <c r="L58" s="53"/>
      <c r="M58" s="54">
        <v>1209.5833333333333</v>
      </c>
      <c r="N58" s="55">
        <v>1542.375</v>
      </c>
      <c r="O58" s="33" t="s">
        <v>54</v>
      </c>
      <c r="P58" s="60" t="s">
        <v>211</v>
      </c>
      <c r="Q58" s="60" t="s">
        <v>212</v>
      </c>
      <c r="R58" s="61" t="s">
        <v>59</v>
      </c>
      <c r="S58" s="77">
        <v>329111</v>
      </c>
      <c r="T58" s="60" t="s">
        <v>56</v>
      </c>
    </row>
    <row r="59" spans="1:22" x14ac:dyDescent="0.2">
      <c r="A59" s="45">
        <v>57</v>
      </c>
      <c r="B59" s="71" t="s">
        <v>214</v>
      </c>
      <c r="C59" s="46" t="s">
        <v>215</v>
      </c>
      <c r="D59" s="76" t="s">
        <v>216</v>
      </c>
      <c r="E59" s="74">
        <v>1846</v>
      </c>
      <c r="F59" s="52">
        <v>1846</v>
      </c>
      <c r="G59" s="50">
        <v>138.44999999999999</v>
      </c>
      <c r="H59" s="50">
        <v>263.05499999999995</v>
      </c>
      <c r="I59" s="51">
        <v>101.89999999999999</v>
      </c>
      <c r="J59" s="52"/>
      <c r="K59" s="52">
        <v>0</v>
      </c>
      <c r="L59" s="53"/>
      <c r="M59" s="54">
        <v>1605.65</v>
      </c>
      <c r="N59" s="55">
        <v>2109.0549999999998</v>
      </c>
      <c r="O59" s="33" t="s">
        <v>54</v>
      </c>
      <c r="P59" s="60" t="s">
        <v>214</v>
      </c>
      <c r="Q59" s="60" t="s">
        <v>215</v>
      </c>
      <c r="R59" s="61" t="s">
        <v>55</v>
      </c>
      <c r="S59" s="77">
        <v>325311</v>
      </c>
      <c r="T59" s="60" t="s">
        <v>56</v>
      </c>
    </row>
    <row r="60" spans="1:22" x14ac:dyDescent="0.2">
      <c r="A60" s="45">
        <v>58</v>
      </c>
      <c r="B60" s="71" t="s">
        <v>217</v>
      </c>
      <c r="C60" s="46" t="s">
        <v>218</v>
      </c>
      <c r="D60" s="76" t="s">
        <v>219</v>
      </c>
      <c r="E60" s="74">
        <v>1275</v>
      </c>
      <c r="F60" s="52">
        <v>1275</v>
      </c>
      <c r="G60" s="50">
        <v>95.625</v>
      </c>
      <c r="H60" s="50">
        <v>181.68749999999997</v>
      </c>
      <c r="I60" s="51">
        <v>31.666666666666668</v>
      </c>
      <c r="J60" s="52"/>
      <c r="K60" s="52">
        <v>0</v>
      </c>
      <c r="L60" s="53"/>
      <c r="M60" s="54">
        <v>1147.7083333333333</v>
      </c>
      <c r="N60" s="55">
        <v>1456.6875</v>
      </c>
      <c r="O60" s="33" t="s">
        <v>54</v>
      </c>
      <c r="P60" s="60" t="s">
        <v>217</v>
      </c>
      <c r="Q60" s="60" t="s">
        <v>218</v>
      </c>
      <c r="R60" s="61" t="s">
        <v>55</v>
      </c>
      <c r="S60" s="77">
        <v>325311</v>
      </c>
      <c r="T60" s="60" t="s">
        <v>56</v>
      </c>
    </row>
    <row r="61" spans="1:22" x14ac:dyDescent="0.2">
      <c r="A61" s="45">
        <v>59</v>
      </c>
      <c r="B61" s="71" t="s">
        <v>220</v>
      </c>
      <c r="C61" s="46" t="s">
        <v>221</v>
      </c>
      <c r="D61" s="76" t="s">
        <v>222</v>
      </c>
      <c r="E61" s="74">
        <v>2485</v>
      </c>
      <c r="F61" s="52">
        <v>2485</v>
      </c>
      <c r="G61" s="50">
        <v>186.375</v>
      </c>
      <c r="H61" s="50">
        <v>354.11249999999995</v>
      </c>
      <c r="I61" s="51">
        <v>225.41666666666666</v>
      </c>
      <c r="J61" s="52"/>
      <c r="K61" s="52">
        <v>0</v>
      </c>
      <c r="L61" s="53"/>
      <c r="M61" s="54">
        <v>2073.2083333333335</v>
      </c>
      <c r="N61" s="55">
        <v>2839.1125000000002</v>
      </c>
      <c r="O61" s="33" t="s">
        <v>54</v>
      </c>
      <c r="P61" s="60" t="s">
        <v>220</v>
      </c>
      <c r="Q61" s="60" t="s">
        <v>221</v>
      </c>
      <c r="R61" s="61" t="s">
        <v>223</v>
      </c>
      <c r="S61" s="77">
        <v>323111</v>
      </c>
      <c r="T61" s="60" t="s">
        <v>56</v>
      </c>
    </row>
    <row r="62" spans="1:22" x14ac:dyDescent="0.2">
      <c r="A62" s="45">
        <v>60</v>
      </c>
      <c r="B62" s="71" t="s">
        <v>224</v>
      </c>
      <c r="C62" s="46" t="s">
        <v>225</v>
      </c>
      <c r="D62" s="76" t="s">
        <v>226</v>
      </c>
      <c r="E62" s="74">
        <v>530</v>
      </c>
      <c r="F62" s="52">
        <v>530</v>
      </c>
      <c r="G62" s="50">
        <v>39.75</v>
      </c>
      <c r="H62" s="50">
        <v>75.524999999999991</v>
      </c>
      <c r="I62" s="51">
        <v>0</v>
      </c>
      <c r="J62" s="52"/>
      <c r="K62" s="52">
        <v>0</v>
      </c>
      <c r="L62" s="53"/>
      <c r="M62" s="54">
        <v>490.25</v>
      </c>
      <c r="N62" s="55">
        <v>605.52499999999998</v>
      </c>
      <c r="O62" s="33" t="s">
        <v>54</v>
      </c>
      <c r="P62" s="60" t="s">
        <v>224</v>
      </c>
      <c r="Q62" s="60" t="s">
        <v>225</v>
      </c>
      <c r="R62" s="61" t="s">
        <v>55</v>
      </c>
      <c r="S62" s="77">
        <v>323111</v>
      </c>
      <c r="T62" s="60" t="s">
        <v>56</v>
      </c>
    </row>
    <row r="63" spans="1:22" x14ac:dyDescent="0.2">
      <c r="A63" s="45">
        <v>61</v>
      </c>
      <c r="B63" s="71" t="s">
        <v>227</v>
      </c>
      <c r="C63" s="46" t="s">
        <v>228</v>
      </c>
      <c r="D63" s="76" t="s">
        <v>229</v>
      </c>
      <c r="E63" s="74">
        <v>2600</v>
      </c>
      <c r="F63" s="52">
        <v>2600</v>
      </c>
      <c r="G63" s="50">
        <v>195</v>
      </c>
      <c r="H63" s="50">
        <v>370.49999999999994</v>
      </c>
      <c r="I63" s="51">
        <v>254.16666666666666</v>
      </c>
      <c r="J63" s="52"/>
      <c r="K63" s="52">
        <v>0</v>
      </c>
      <c r="L63" s="53"/>
      <c r="M63" s="54">
        <v>2150.8333333333335</v>
      </c>
      <c r="N63" s="55">
        <v>2970.5</v>
      </c>
      <c r="O63" s="33" t="s">
        <v>54</v>
      </c>
      <c r="P63" s="60" t="s">
        <v>227</v>
      </c>
      <c r="Q63" s="60" t="s">
        <v>228</v>
      </c>
      <c r="R63" s="61" t="s">
        <v>55</v>
      </c>
      <c r="S63" s="77">
        <v>325311</v>
      </c>
      <c r="T63" s="60" t="s">
        <v>56</v>
      </c>
    </row>
    <row r="64" spans="1:22" x14ac:dyDescent="0.2">
      <c r="A64" s="45">
        <v>62</v>
      </c>
      <c r="B64" s="71" t="s">
        <v>230</v>
      </c>
      <c r="C64" s="46" t="s">
        <v>231</v>
      </c>
      <c r="D64" s="76" t="s">
        <v>232</v>
      </c>
      <c r="E64" s="74">
        <v>1100</v>
      </c>
      <c r="F64" s="52">
        <v>1100</v>
      </c>
      <c r="G64" s="50">
        <v>82.5</v>
      </c>
      <c r="H64" s="50">
        <v>156.75</v>
      </c>
      <c r="I64" s="51">
        <v>17.5</v>
      </c>
      <c r="J64" s="52"/>
      <c r="K64" s="52">
        <v>0</v>
      </c>
      <c r="L64" s="53"/>
      <c r="M64" s="54">
        <v>1000</v>
      </c>
      <c r="N64" s="55">
        <v>1256.75</v>
      </c>
      <c r="O64" s="33" t="s">
        <v>54</v>
      </c>
      <c r="P64" s="60" t="s">
        <v>230</v>
      </c>
      <c r="Q64" s="60" t="s">
        <v>231</v>
      </c>
      <c r="R64" s="61"/>
      <c r="S64" s="77">
        <v>325311</v>
      </c>
      <c r="T64" s="60" t="s">
        <v>56</v>
      </c>
    </row>
    <row r="65" spans="1:20" x14ac:dyDescent="0.2">
      <c r="A65" s="45">
        <v>63</v>
      </c>
      <c r="B65" s="71" t="s">
        <v>233</v>
      </c>
      <c r="C65" s="46" t="s">
        <v>234</v>
      </c>
      <c r="D65" s="76" t="s">
        <v>204</v>
      </c>
      <c r="E65" s="80">
        <v>395</v>
      </c>
      <c r="F65" s="81">
        <v>395</v>
      </c>
      <c r="G65" s="50">
        <v>29.625</v>
      </c>
      <c r="H65" s="50">
        <v>56.287499999999994</v>
      </c>
      <c r="I65" s="51">
        <v>0</v>
      </c>
      <c r="J65" s="52"/>
      <c r="K65" s="52">
        <v>0</v>
      </c>
      <c r="L65" s="53"/>
      <c r="M65" s="54">
        <v>365.375</v>
      </c>
      <c r="N65" s="55">
        <v>451.28750000000002</v>
      </c>
      <c r="O65" s="33" t="s">
        <v>54</v>
      </c>
      <c r="P65" s="60" t="s">
        <v>233</v>
      </c>
      <c r="Q65" s="60" t="s">
        <v>234</v>
      </c>
      <c r="R65" s="61"/>
      <c r="S65" s="77">
        <v>329111</v>
      </c>
      <c r="T65" s="60" t="s">
        <v>56</v>
      </c>
    </row>
    <row r="66" spans="1:20" x14ac:dyDescent="0.2">
      <c r="A66" s="45">
        <v>64</v>
      </c>
      <c r="B66" s="71" t="s">
        <v>235</v>
      </c>
      <c r="C66" s="46" t="s">
        <v>236</v>
      </c>
      <c r="D66" s="76" t="s">
        <v>204</v>
      </c>
      <c r="E66" s="80">
        <v>395</v>
      </c>
      <c r="F66" s="81">
        <v>395</v>
      </c>
      <c r="G66" s="50">
        <v>29.625</v>
      </c>
      <c r="H66" s="50">
        <v>56.287499999999994</v>
      </c>
      <c r="I66" s="51">
        <v>0</v>
      </c>
      <c r="J66" s="52"/>
      <c r="K66" s="52">
        <v>0</v>
      </c>
      <c r="L66" s="53"/>
      <c r="M66" s="54">
        <v>365.375</v>
      </c>
      <c r="N66" s="55">
        <v>451.28750000000002</v>
      </c>
      <c r="O66" s="33" t="s">
        <v>54</v>
      </c>
      <c r="P66" s="60" t="s">
        <v>235</v>
      </c>
      <c r="Q66" s="60" t="s">
        <v>236</v>
      </c>
      <c r="R66" s="61"/>
      <c r="S66" s="77">
        <v>329111</v>
      </c>
      <c r="T66" s="60" t="s">
        <v>56</v>
      </c>
    </row>
    <row r="67" spans="1:20" x14ac:dyDescent="0.2">
      <c r="A67" s="45">
        <v>65</v>
      </c>
      <c r="B67" s="71" t="s">
        <v>237</v>
      </c>
      <c r="C67" s="46" t="s">
        <v>238</v>
      </c>
      <c r="D67" s="76" t="s">
        <v>239</v>
      </c>
      <c r="E67" s="74">
        <v>3000</v>
      </c>
      <c r="F67" s="52">
        <v>3000</v>
      </c>
      <c r="G67" s="50">
        <v>225</v>
      </c>
      <c r="H67" s="50">
        <v>427.49999999999994</v>
      </c>
      <c r="I67" s="51">
        <v>175</v>
      </c>
      <c r="J67" s="52"/>
      <c r="K67" s="52">
        <v>0</v>
      </c>
      <c r="L67" s="53"/>
      <c r="M67" s="54">
        <v>2600</v>
      </c>
      <c r="N67" s="55">
        <v>3427.5</v>
      </c>
      <c r="O67" s="33" t="s">
        <v>69</v>
      </c>
      <c r="P67" s="60" t="s">
        <v>237</v>
      </c>
      <c r="Q67" s="60" t="s">
        <v>238</v>
      </c>
      <c r="R67" s="61"/>
      <c r="S67" s="77">
        <v>323111</v>
      </c>
      <c r="T67" s="60" t="s">
        <v>240</v>
      </c>
    </row>
    <row r="68" spans="1:20" x14ac:dyDescent="0.2">
      <c r="A68" s="45">
        <v>66</v>
      </c>
      <c r="B68" s="71" t="s">
        <v>241</v>
      </c>
      <c r="C68" s="46" t="s">
        <v>242</v>
      </c>
      <c r="D68" s="76" t="s">
        <v>243</v>
      </c>
      <c r="E68" s="74">
        <v>1136</v>
      </c>
      <c r="F68" s="52">
        <v>1136</v>
      </c>
      <c r="G68" s="50">
        <v>85.2</v>
      </c>
      <c r="H68" s="50">
        <v>161.88</v>
      </c>
      <c r="I68" s="51">
        <v>19.3</v>
      </c>
      <c r="J68" s="52"/>
      <c r="K68" s="52">
        <v>0</v>
      </c>
      <c r="L68" s="53"/>
      <c r="M68" s="54">
        <v>1031.5</v>
      </c>
      <c r="N68" s="55">
        <v>1297.8800000000001</v>
      </c>
      <c r="O68" s="33" t="s">
        <v>54</v>
      </c>
      <c r="P68" s="60" t="s">
        <v>241</v>
      </c>
      <c r="Q68" s="60" t="s">
        <v>242</v>
      </c>
      <c r="R68" s="61"/>
      <c r="S68" s="77">
        <v>327111</v>
      </c>
      <c r="T68" s="60" t="s">
        <v>56</v>
      </c>
    </row>
    <row r="69" spans="1:20" x14ac:dyDescent="0.2">
      <c r="A69" s="45">
        <v>67</v>
      </c>
      <c r="B69" s="71" t="s">
        <v>246</v>
      </c>
      <c r="C69" s="46" t="s">
        <v>247</v>
      </c>
      <c r="D69" s="76" t="s">
        <v>216</v>
      </c>
      <c r="E69" s="74">
        <v>1915</v>
      </c>
      <c r="F69" s="52">
        <v>1915</v>
      </c>
      <c r="G69" s="50">
        <v>143.625</v>
      </c>
      <c r="H69" s="50">
        <v>272.88749999999999</v>
      </c>
      <c r="I69" s="51">
        <v>20.75</v>
      </c>
      <c r="J69" s="52"/>
      <c r="K69" s="52">
        <v>0</v>
      </c>
      <c r="L69" s="53"/>
      <c r="M69" s="54">
        <v>1750.625</v>
      </c>
      <c r="N69" s="55">
        <v>2187.8874999999998</v>
      </c>
      <c r="O69" s="33" t="s">
        <v>69</v>
      </c>
      <c r="P69" s="60" t="s">
        <v>246</v>
      </c>
      <c r="Q69" s="60" t="s">
        <v>247</v>
      </c>
      <c r="R69" s="61"/>
      <c r="S69" s="77">
        <v>325311</v>
      </c>
      <c r="T69" s="60" t="s">
        <v>56</v>
      </c>
    </row>
    <row r="70" spans="1:20" x14ac:dyDescent="0.2">
      <c r="A70" s="45">
        <v>68</v>
      </c>
      <c r="B70" s="84" t="s">
        <v>248</v>
      </c>
      <c r="C70" s="46" t="s">
        <v>249</v>
      </c>
      <c r="D70" s="76" t="s">
        <v>250</v>
      </c>
      <c r="E70" s="74">
        <v>1207</v>
      </c>
      <c r="F70" s="52">
        <v>1207</v>
      </c>
      <c r="G70" s="50">
        <v>90.524999999999991</v>
      </c>
      <c r="H70" s="50">
        <v>171.99749999999997</v>
      </c>
      <c r="I70" s="51">
        <v>24.866666666666664</v>
      </c>
      <c r="J70" s="52"/>
      <c r="K70" s="52">
        <v>0</v>
      </c>
      <c r="L70" s="53"/>
      <c r="M70" s="54">
        <v>1091.6083333333333</v>
      </c>
      <c r="N70" s="55">
        <v>1378.9974999999999</v>
      </c>
      <c r="O70" s="33" t="s">
        <v>54</v>
      </c>
      <c r="P70" s="60" t="s">
        <v>248</v>
      </c>
      <c r="Q70" s="60" t="s">
        <v>249</v>
      </c>
      <c r="R70" s="85"/>
      <c r="S70" s="58">
        <v>325411</v>
      </c>
      <c r="T70" s="56" t="s">
        <v>56</v>
      </c>
    </row>
    <row r="71" spans="1:20" x14ac:dyDescent="0.2">
      <c r="A71" s="45">
        <v>69</v>
      </c>
      <c r="B71" s="84" t="s">
        <v>251</v>
      </c>
      <c r="C71" s="46" t="s">
        <v>252</v>
      </c>
      <c r="D71" s="76" t="s">
        <v>253</v>
      </c>
      <c r="E71" s="74">
        <v>1560</v>
      </c>
      <c r="F71" s="52">
        <v>1560</v>
      </c>
      <c r="G71" s="50">
        <v>117</v>
      </c>
      <c r="H71" s="50">
        <v>222.29999999999998</v>
      </c>
      <c r="I71" s="51">
        <v>60.166666666666664</v>
      </c>
      <c r="J71" s="52"/>
      <c r="K71" s="52">
        <v>0</v>
      </c>
      <c r="L71" s="53"/>
      <c r="M71" s="54">
        <v>1382.8333333333333</v>
      </c>
      <c r="N71" s="55">
        <v>1782.3</v>
      </c>
      <c r="O71" s="33" t="s">
        <v>54</v>
      </c>
      <c r="P71" s="60" t="s">
        <v>251</v>
      </c>
      <c r="Q71" s="60" t="s">
        <v>252</v>
      </c>
      <c r="R71" s="85"/>
      <c r="S71" s="62">
        <v>318223</v>
      </c>
      <c r="T71" s="60" t="s">
        <v>254</v>
      </c>
    </row>
    <row r="72" spans="1:20" x14ac:dyDescent="0.2">
      <c r="A72" s="45">
        <v>70</v>
      </c>
      <c r="B72" s="84" t="s">
        <v>255</v>
      </c>
      <c r="C72" s="46" t="s">
        <v>461</v>
      </c>
      <c r="D72" s="76" t="s">
        <v>257</v>
      </c>
      <c r="E72" s="74">
        <v>2500</v>
      </c>
      <c r="F72" s="52">
        <v>2500</v>
      </c>
      <c r="G72" s="50">
        <v>187.5</v>
      </c>
      <c r="H72" s="50">
        <v>356.24999999999994</v>
      </c>
      <c r="I72" s="51">
        <v>87.5</v>
      </c>
      <c r="J72" s="52"/>
      <c r="K72" s="52">
        <v>26.64</v>
      </c>
      <c r="L72" s="53"/>
      <c r="M72" s="54">
        <v>2251.64</v>
      </c>
      <c r="N72" s="55">
        <v>2856.25</v>
      </c>
      <c r="O72" s="33" t="s">
        <v>69</v>
      </c>
      <c r="P72" s="60" t="s">
        <v>255</v>
      </c>
      <c r="Q72" s="60" t="s">
        <v>256</v>
      </c>
      <c r="R72" s="85"/>
      <c r="S72" s="62">
        <v>323111</v>
      </c>
      <c r="T72" s="60" t="s">
        <v>240</v>
      </c>
    </row>
    <row r="73" spans="1:20" x14ac:dyDescent="0.2">
      <c r="A73" s="45">
        <v>71</v>
      </c>
      <c r="B73" s="84" t="s">
        <v>258</v>
      </c>
      <c r="C73" s="46" t="s">
        <v>259</v>
      </c>
      <c r="D73" s="76" t="s">
        <v>260</v>
      </c>
      <c r="E73" s="74">
        <v>700</v>
      </c>
      <c r="F73" s="52">
        <v>700</v>
      </c>
      <c r="G73" s="50">
        <v>52.5</v>
      </c>
      <c r="H73" s="50">
        <v>99.749999999999986</v>
      </c>
      <c r="I73" s="51">
        <v>0</v>
      </c>
      <c r="J73" s="52"/>
      <c r="K73" s="52">
        <v>0</v>
      </c>
      <c r="L73" s="53"/>
      <c r="M73" s="54">
        <v>647.5</v>
      </c>
      <c r="N73" s="55">
        <v>799.75</v>
      </c>
      <c r="O73" s="33" t="s">
        <v>54</v>
      </c>
      <c r="P73" s="60" t="s">
        <v>258</v>
      </c>
      <c r="Q73" s="60" t="s">
        <v>259</v>
      </c>
      <c r="R73" s="85"/>
      <c r="S73" s="62">
        <v>131111</v>
      </c>
      <c r="T73" s="60" t="s">
        <v>164</v>
      </c>
    </row>
    <row r="74" spans="1:20" x14ac:dyDescent="0.2">
      <c r="A74" s="45">
        <v>72</v>
      </c>
      <c r="B74" s="84" t="s">
        <v>261</v>
      </c>
      <c r="C74" s="46" t="s">
        <v>262</v>
      </c>
      <c r="D74" s="76" t="s">
        <v>263</v>
      </c>
      <c r="E74" s="74">
        <v>1560</v>
      </c>
      <c r="F74" s="52">
        <v>1560</v>
      </c>
      <c r="G74" s="50">
        <v>117</v>
      </c>
      <c r="H74" s="50">
        <v>222.29999999999998</v>
      </c>
      <c r="I74" s="51">
        <v>3</v>
      </c>
      <c r="J74" s="52"/>
      <c r="K74" s="52">
        <v>0</v>
      </c>
      <c r="L74" s="53"/>
      <c r="M74" s="54">
        <v>1440</v>
      </c>
      <c r="N74" s="55">
        <v>1782.3</v>
      </c>
      <c r="O74" s="33" t="s">
        <v>69</v>
      </c>
      <c r="P74" s="60" t="s">
        <v>261</v>
      </c>
      <c r="Q74" s="60" t="s">
        <v>262</v>
      </c>
      <c r="R74" s="85"/>
      <c r="S74" s="62">
        <v>329111</v>
      </c>
      <c r="T74" s="60" t="s">
        <v>264</v>
      </c>
    </row>
    <row r="75" spans="1:20" x14ac:dyDescent="0.2">
      <c r="A75" s="45">
        <v>73</v>
      </c>
      <c r="B75" s="84" t="s">
        <v>265</v>
      </c>
      <c r="C75" s="46" t="s">
        <v>266</v>
      </c>
      <c r="D75" s="76" t="s">
        <v>263</v>
      </c>
      <c r="E75" s="74">
        <v>1560</v>
      </c>
      <c r="F75" s="52">
        <v>1560</v>
      </c>
      <c r="G75" s="50">
        <v>117</v>
      </c>
      <c r="H75" s="50">
        <v>222.29999999999998</v>
      </c>
      <c r="I75" s="51">
        <v>3</v>
      </c>
      <c r="J75" s="52"/>
      <c r="K75" s="52">
        <v>0</v>
      </c>
      <c r="L75" s="53"/>
      <c r="M75" s="54">
        <v>1440</v>
      </c>
      <c r="N75" s="55">
        <v>1782.3</v>
      </c>
      <c r="O75" s="33" t="s">
        <v>69</v>
      </c>
      <c r="P75" s="60" t="s">
        <v>265</v>
      </c>
      <c r="Q75" s="60" t="s">
        <v>266</v>
      </c>
      <c r="R75" s="85"/>
      <c r="S75" s="62">
        <v>329111</v>
      </c>
      <c r="T75" s="60" t="s">
        <v>264</v>
      </c>
    </row>
    <row r="76" spans="1:20" x14ac:dyDescent="0.2">
      <c r="A76" s="45">
        <v>74</v>
      </c>
      <c r="B76" s="84" t="s">
        <v>267</v>
      </c>
      <c r="C76" s="46" t="s">
        <v>268</v>
      </c>
      <c r="D76" s="76" t="s">
        <v>269</v>
      </c>
      <c r="E76" s="74">
        <v>1420</v>
      </c>
      <c r="F76" s="52">
        <v>1420</v>
      </c>
      <c r="G76" s="50">
        <v>106.5</v>
      </c>
      <c r="H76" s="50">
        <v>202.35</v>
      </c>
      <c r="I76" s="51">
        <v>46.166666666666664</v>
      </c>
      <c r="J76" s="52"/>
      <c r="K76" s="52">
        <v>0</v>
      </c>
      <c r="L76" s="53"/>
      <c r="M76" s="54">
        <v>1267.3333333333333</v>
      </c>
      <c r="N76" s="55">
        <v>1622.35</v>
      </c>
      <c r="O76" s="33" t="s">
        <v>54</v>
      </c>
      <c r="P76" s="60" t="s">
        <v>267</v>
      </c>
      <c r="Q76" s="60" t="s">
        <v>268</v>
      </c>
      <c r="R76" s="85"/>
      <c r="S76" s="62">
        <v>329111</v>
      </c>
      <c r="T76" s="60" t="s">
        <v>264</v>
      </c>
    </row>
    <row r="77" spans="1:20" x14ac:dyDescent="0.2">
      <c r="A77" s="45">
        <v>75</v>
      </c>
      <c r="B77" s="84" t="s">
        <v>270</v>
      </c>
      <c r="C77" s="46" t="s">
        <v>271</v>
      </c>
      <c r="D77" s="76" t="s">
        <v>250</v>
      </c>
      <c r="E77" s="74">
        <v>1207</v>
      </c>
      <c r="F77" s="52">
        <v>1207</v>
      </c>
      <c r="G77" s="50">
        <v>90.524999999999991</v>
      </c>
      <c r="H77" s="50">
        <v>171.99749999999997</v>
      </c>
      <c r="I77" s="51">
        <v>24.866666666666664</v>
      </c>
      <c r="J77" s="52"/>
      <c r="K77" s="52">
        <v>0</v>
      </c>
      <c r="L77" s="53"/>
      <c r="M77" s="54">
        <v>1091.6083333333333</v>
      </c>
      <c r="N77" s="55">
        <v>1378.9974999999999</v>
      </c>
      <c r="O77" s="33" t="s">
        <v>54</v>
      </c>
      <c r="P77" s="60" t="s">
        <v>270</v>
      </c>
      <c r="Q77" s="60" t="s">
        <v>271</v>
      </c>
      <c r="R77" s="85"/>
      <c r="S77" s="58">
        <v>325411</v>
      </c>
      <c r="T77" s="56" t="s">
        <v>56</v>
      </c>
    </row>
    <row r="78" spans="1:20" x14ac:dyDescent="0.2">
      <c r="A78" s="45">
        <v>76</v>
      </c>
      <c r="B78" s="84" t="s">
        <v>272</v>
      </c>
      <c r="C78" s="46" t="s">
        <v>273</v>
      </c>
      <c r="D78" s="76" t="s">
        <v>274</v>
      </c>
      <c r="E78" s="74">
        <v>675</v>
      </c>
      <c r="F78" s="52">
        <v>675</v>
      </c>
      <c r="G78" s="50">
        <v>50.625</v>
      </c>
      <c r="H78" s="50">
        <v>96.187499999999986</v>
      </c>
      <c r="I78" s="51">
        <v>0</v>
      </c>
      <c r="J78" s="52"/>
      <c r="K78" s="52">
        <v>0</v>
      </c>
      <c r="L78" s="53"/>
      <c r="M78" s="54">
        <v>624.375</v>
      </c>
      <c r="N78" s="55">
        <v>771.1875</v>
      </c>
      <c r="O78" s="33" t="s">
        <v>54</v>
      </c>
      <c r="P78" s="60" t="s">
        <v>272</v>
      </c>
      <c r="Q78" s="60" t="s">
        <v>273</v>
      </c>
      <c r="R78" s="85"/>
      <c r="S78" s="62">
        <v>325411</v>
      </c>
      <c r="T78" s="60" t="s">
        <v>275</v>
      </c>
    </row>
    <row r="79" spans="1:20" x14ac:dyDescent="0.2">
      <c r="A79" s="45">
        <v>77</v>
      </c>
      <c r="B79" s="84" t="s">
        <v>276</v>
      </c>
      <c r="C79" s="46" t="s">
        <v>277</v>
      </c>
      <c r="D79" s="76" t="s">
        <v>278</v>
      </c>
      <c r="E79" s="74">
        <v>530</v>
      </c>
      <c r="F79" s="52">
        <v>530</v>
      </c>
      <c r="G79" s="50">
        <v>39.75</v>
      </c>
      <c r="H79" s="50">
        <v>75.524999999999991</v>
      </c>
      <c r="I79" s="51">
        <v>0</v>
      </c>
      <c r="J79" s="52"/>
      <c r="K79" s="52">
        <v>0</v>
      </c>
      <c r="L79" s="53"/>
      <c r="M79" s="54">
        <v>490.25</v>
      </c>
      <c r="N79" s="55">
        <v>605.52499999999998</v>
      </c>
      <c r="O79" s="33" t="s">
        <v>54</v>
      </c>
      <c r="P79" s="60" t="s">
        <v>276</v>
      </c>
      <c r="Q79" s="60" t="s">
        <v>277</v>
      </c>
      <c r="R79" s="85"/>
      <c r="S79" s="62">
        <v>325411</v>
      </c>
      <c r="T79" s="60" t="s">
        <v>275</v>
      </c>
    </row>
    <row r="80" spans="1:20" x14ac:dyDescent="0.2">
      <c r="A80" s="45">
        <v>78</v>
      </c>
      <c r="B80" s="84" t="s">
        <v>279</v>
      </c>
      <c r="C80" s="46" t="s">
        <v>280</v>
      </c>
      <c r="D80" s="76" t="s">
        <v>250</v>
      </c>
      <c r="E80" s="74">
        <v>1280</v>
      </c>
      <c r="F80" s="52">
        <v>1280</v>
      </c>
      <c r="G80" s="50">
        <v>96</v>
      </c>
      <c r="H80" s="50">
        <v>182.39999999999998</v>
      </c>
      <c r="I80" s="51">
        <v>32.166666666666664</v>
      </c>
      <c r="J80" s="52"/>
      <c r="K80" s="52">
        <v>0</v>
      </c>
      <c r="L80" s="53"/>
      <c r="M80" s="54">
        <v>1151.8333333333333</v>
      </c>
      <c r="N80" s="55">
        <v>1462.4</v>
      </c>
      <c r="O80" s="33" t="s">
        <v>54</v>
      </c>
      <c r="P80" s="60" t="s">
        <v>279</v>
      </c>
      <c r="Q80" s="60" t="s">
        <v>281</v>
      </c>
      <c r="R80" s="85"/>
      <c r="S80" s="62">
        <v>325311</v>
      </c>
      <c r="T80" s="60" t="s">
        <v>56</v>
      </c>
    </row>
    <row r="81" spans="1:20" x14ac:dyDescent="0.2">
      <c r="A81" s="45">
        <v>79</v>
      </c>
      <c r="B81" s="84" t="s">
        <v>282</v>
      </c>
      <c r="C81" s="46" t="s">
        <v>283</v>
      </c>
      <c r="D81" s="76" t="s">
        <v>284</v>
      </c>
      <c r="E81" s="74">
        <v>850</v>
      </c>
      <c r="F81" s="52">
        <v>850</v>
      </c>
      <c r="G81" s="50">
        <v>63.75</v>
      </c>
      <c r="H81" s="50">
        <v>121.12499999999999</v>
      </c>
      <c r="I81" s="51">
        <v>5</v>
      </c>
      <c r="J81" s="52"/>
      <c r="K81" s="52">
        <v>0</v>
      </c>
      <c r="L81" s="53"/>
      <c r="M81" s="54">
        <v>781.25</v>
      </c>
      <c r="N81" s="55">
        <v>971.125</v>
      </c>
      <c r="O81" s="33" t="s">
        <v>54</v>
      </c>
      <c r="P81" s="88" t="s">
        <v>282</v>
      </c>
      <c r="Q81" s="88" t="s">
        <v>283</v>
      </c>
      <c r="R81" s="85"/>
      <c r="S81" s="62">
        <v>323111</v>
      </c>
      <c r="T81" s="60" t="s">
        <v>56</v>
      </c>
    </row>
    <row r="82" spans="1:20" x14ac:dyDescent="0.2">
      <c r="A82" s="45">
        <v>80</v>
      </c>
      <c r="B82" s="84" t="s">
        <v>285</v>
      </c>
      <c r="C82" s="46" t="s">
        <v>286</v>
      </c>
      <c r="D82" s="76" t="s">
        <v>287</v>
      </c>
      <c r="E82" s="74">
        <v>550</v>
      </c>
      <c r="F82" s="52">
        <v>550</v>
      </c>
      <c r="G82" s="50">
        <v>41.25</v>
      </c>
      <c r="H82" s="50">
        <v>78.375</v>
      </c>
      <c r="I82" s="51">
        <v>0</v>
      </c>
      <c r="J82" s="52"/>
      <c r="K82" s="52">
        <v>0</v>
      </c>
      <c r="L82" s="53"/>
      <c r="M82" s="54">
        <v>508.75</v>
      </c>
      <c r="N82" s="55">
        <v>628.375</v>
      </c>
      <c r="O82" s="33" t="s">
        <v>54</v>
      </c>
      <c r="P82" s="88" t="s">
        <v>285</v>
      </c>
      <c r="Q82" s="88" t="s">
        <v>286</v>
      </c>
      <c r="R82" s="85"/>
      <c r="S82" s="62">
        <v>323111</v>
      </c>
      <c r="T82" s="60" t="s">
        <v>56</v>
      </c>
    </row>
    <row r="83" spans="1:20" x14ac:dyDescent="0.2">
      <c r="A83" s="45">
        <v>81</v>
      </c>
      <c r="B83" s="84" t="s">
        <v>288</v>
      </c>
      <c r="C83" s="46" t="s">
        <v>289</v>
      </c>
      <c r="D83" s="76" t="s">
        <v>287</v>
      </c>
      <c r="E83" s="74">
        <v>550</v>
      </c>
      <c r="F83" s="52">
        <v>550</v>
      </c>
      <c r="G83" s="50">
        <v>41.25</v>
      </c>
      <c r="H83" s="50">
        <v>78.375</v>
      </c>
      <c r="I83" s="51">
        <v>0</v>
      </c>
      <c r="J83" s="52"/>
      <c r="K83" s="52">
        <v>0</v>
      </c>
      <c r="L83" s="53"/>
      <c r="M83" s="54">
        <v>508.75</v>
      </c>
      <c r="N83" s="55">
        <v>628.375</v>
      </c>
      <c r="O83" s="33" t="s">
        <v>54</v>
      </c>
      <c r="P83" s="88" t="s">
        <v>288</v>
      </c>
      <c r="Q83" s="88" t="s">
        <v>289</v>
      </c>
      <c r="R83" s="85"/>
      <c r="S83" s="62">
        <v>323111</v>
      </c>
      <c r="T83" s="60" t="s">
        <v>56</v>
      </c>
    </row>
    <row r="84" spans="1:20" ht="15" x14ac:dyDescent="0.25">
      <c r="A84" s="45">
        <v>82</v>
      </c>
      <c r="B84" s="84" t="s">
        <v>290</v>
      </c>
      <c r="C84" s="156" t="s">
        <v>291</v>
      </c>
      <c r="D84" s="76" t="s">
        <v>65</v>
      </c>
      <c r="E84" s="74">
        <v>850</v>
      </c>
      <c r="F84" s="52">
        <v>850</v>
      </c>
      <c r="G84" s="50">
        <v>63.75</v>
      </c>
      <c r="H84" s="50">
        <v>121.12499999999999</v>
      </c>
      <c r="I84" s="51">
        <v>5</v>
      </c>
      <c r="J84" s="52"/>
      <c r="K84" s="52">
        <v>0</v>
      </c>
      <c r="L84" s="53"/>
      <c r="M84" s="54">
        <v>781.25</v>
      </c>
      <c r="N84" s="55">
        <v>971.125</v>
      </c>
      <c r="O84" s="33" t="s">
        <v>54</v>
      </c>
      <c r="P84" s="84" t="s">
        <v>290</v>
      </c>
      <c r="Q84" s="89" t="s">
        <v>291</v>
      </c>
      <c r="R84" s="85"/>
      <c r="S84" s="58">
        <v>323111</v>
      </c>
      <c r="T84" s="56" t="s">
        <v>56</v>
      </c>
    </row>
    <row r="85" spans="1:20" ht="15" x14ac:dyDescent="0.25">
      <c r="A85" s="45">
        <v>83</v>
      </c>
      <c r="B85" s="84" t="s">
        <v>292</v>
      </c>
      <c r="C85" s="156" t="s">
        <v>293</v>
      </c>
      <c r="D85" s="76" t="s">
        <v>65</v>
      </c>
      <c r="E85" s="74">
        <v>850</v>
      </c>
      <c r="F85" s="52">
        <v>850</v>
      </c>
      <c r="G85" s="50">
        <v>63.75</v>
      </c>
      <c r="H85" s="50">
        <v>121.12499999999999</v>
      </c>
      <c r="I85" s="51">
        <v>5</v>
      </c>
      <c r="J85" s="52"/>
      <c r="K85" s="52">
        <v>0</v>
      </c>
      <c r="L85" s="53"/>
      <c r="M85" s="54">
        <v>781.25</v>
      </c>
      <c r="N85" s="55">
        <v>971.125</v>
      </c>
      <c r="O85" s="33" t="s">
        <v>54</v>
      </c>
      <c r="P85" s="84" t="s">
        <v>292</v>
      </c>
      <c r="Q85" s="89" t="s">
        <v>293</v>
      </c>
      <c r="R85" s="85"/>
      <c r="S85" s="62">
        <v>323111</v>
      </c>
      <c r="T85" s="60" t="s">
        <v>56</v>
      </c>
    </row>
    <row r="86" spans="1:20" ht="15" x14ac:dyDescent="0.25">
      <c r="A86" s="45">
        <v>84</v>
      </c>
      <c r="B86" s="84" t="s">
        <v>294</v>
      </c>
      <c r="C86" s="156" t="s">
        <v>295</v>
      </c>
      <c r="D86" s="76" t="s">
        <v>296</v>
      </c>
      <c r="E86" s="74">
        <v>1170</v>
      </c>
      <c r="F86" s="52">
        <v>1170</v>
      </c>
      <c r="G86" s="50">
        <v>87.75</v>
      </c>
      <c r="H86" s="50">
        <v>166.72499999999999</v>
      </c>
      <c r="I86" s="51">
        <v>21.166666666666668</v>
      </c>
      <c r="J86" s="52"/>
      <c r="K86" s="52">
        <v>0</v>
      </c>
      <c r="L86" s="53"/>
      <c r="M86" s="54">
        <v>1061.0833333333333</v>
      </c>
      <c r="N86" s="55">
        <v>1336.7249999999999</v>
      </c>
      <c r="O86" s="33" t="s">
        <v>54</v>
      </c>
      <c r="P86" s="84" t="s">
        <v>294</v>
      </c>
      <c r="Q86" s="89" t="s">
        <v>295</v>
      </c>
      <c r="R86" s="85"/>
      <c r="S86" s="62">
        <v>326111</v>
      </c>
      <c r="T86" s="60" t="s">
        <v>56</v>
      </c>
    </row>
    <row r="87" spans="1:20" ht="15" x14ac:dyDescent="0.25">
      <c r="A87" s="45">
        <v>85</v>
      </c>
      <c r="B87" s="84" t="s">
        <v>297</v>
      </c>
      <c r="C87" s="156" t="s">
        <v>298</v>
      </c>
      <c r="D87" s="76" t="s">
        <v>299</v>
      </c>
      <c r="E87" s="74">
        <v>2770</v>
      </c>
      <c r="F87" s="52">
        <v>2770</v>
      </c>
      <c r="G87" s="50">
        <v>207.75</v>
      </c>
      <c r="H87" s="50">
        <v>394.72499999999997</v>
      </c>
      <c r="I87" s="51">
        <v>129</v>
      </c>
      <c r="J87" s="52"/>
      <c r="K87" s="52">
        <v>0</v>
      </c>
      <c r="L87" s="53"/>
      <c r="M87" s="54">
        <v>2433.25</v>
      </c>
      <c r="N87" s="55">
        <v>3164.7249999999999</v>
      </c>
      <c r="O87" s="33" t="s">
        <v>69</v>
      </c>
      <c r="P87" s="84" t="s">
        <v>297</v>
      </c>
      <c r="Q87" s="89" t="s">
        <v>298</v>
      </c>
      <c r="R87" s="85"/>
      <c r="S87" s="62">
        <v>329111</v>
      </c>
      <c r="T87" s="60" t="s">
        <v>56</v>
      </c>
    </row>
    <row r="88" spans="1:20" x14ac:dyDescent="0.2">
      <c r="A88" s="45">
        <v>86</v>
      </c>
      <c r="B88" s="84" t="s">
        <v>300</v>
      </c>
      <c r="C88" s="46" t="s">
        <v>301</v>
      </c>
      <c r="D88" s="76" t="s">
        <v>302</v>
      </c>
      <c r="E88" s="74">
        <v>1420</v>
      </c>
      <c r="F88" s="52">
        <v>1420</v>
      </c>
      <c r="G88" s="50">
        <v>106.5</v>
      </c>
      <c r="H88" s="50">
        <v>202.35</v>
      </c>
      <c r="I88" s="51">
        <v>46.166666666666664</v>
      </c>
      <c r="J88" s="52"/>
      <c r="K88" s="52">
        <v>0</v>
      </c>
      <c r="L88" s="53"/>
      <c r="M88" s="54">
        <v>1267.3333333333333</v>
      </c>
      <c r="N88" s="55">
        <v>1622.35</v>
      </c>
      <c r="O88" s="33" t="s">
        <v>54</v>
      </c>
      <c r="P88" s="84" t="s">
        <v>300</v>
      </c>
      <c r="Q88" s="92" t="s">
        <v>301</v>
      </c>
      <c r="R88" s="85"/>
      <c r="S88" s="62">
        <v>325311</v>
      </c>
      <c r="T88" s="60" t="s">
        <v>56</v>
      </c>
    </row>
    <row r="89" spans="1:20" x14ac:dyDescent="0.2">
      <c r="A89" s="45">
        <v>87</v>
      </c>
      <c r="B89" s="84" t="s">
        <v>303</v>
      </c>
      <c r="C89" s="46" t="s">
        <v>304</v>
      </c>
      <c r="D89" s="76" t="s">
        <v>302</v>
      </c>
      <c r="E89" s="74">
        <v>1490</v>
      </c>
      <c r="F89" s="52">
        <v>1490</v>
      </c>
      <c r="G89" s="50">
        <v>111.75</v>
      </c>
      <c r="H89" s="50">
        <v>212.32499999999999</v>
      </c>
      <c r="I89" s="51">
        <v>53.166666666666664</v>
      </c>
      <c r="J89" s="52"/>
      <c r="K89" s="52">
        <v>0</v>
      </c>
      <c r="L89" s="53"/>
      <c r="M89" s="54">
        <v>1325.0833333333333</v>
      </c>
      <c r="N89" s="55">
        <v>1702.325</v>
      </c>
      <c r="O89" s="33" t="s">
        <v>54</v>
      </c>
      <c r="P89" s="84" t="s">
        <v>303</v>
      </c>
      <c r="Q89" s="92" t="s">
        <v>304</v>
      </c>
      <c r="R89" s="85"/>
      <c r="S89" s="62">
        <v>325311</v>
      </c>
      <c r="T89" s="60" t="s">
        <v>56</v>
      </c>
    </row>
    <row r="90" spans="1:20" x14ac:dyDescent="0.2">
      <c r="A90" s="45">
        <v>88</v>
      </c>
      <c r="B90" s="84" t="s">
        <v>305</v>
      </c>
      <c r="C90" s="46" t="s">
        <v>306</v>
      </c>
      <c r="D90" s="76" t="s">
        <v>307</v>
      </c>
      <c r="E90" s="74">
        <v>1008</v>
      </c>
      <c r="F90" s="52">
        <v>1008</v>
      </c>
      <c r="G90" s="50">
        <v>75.599999999999994</v>
      </c>
      <c r="H90" s="50">
        <v>143.63999999999999</v>
      </c>
      <c r="I90" s="51">
        <v>12.9</v>
      </c>
      <c r="J90" s="52"/>
      <c r="K90" s="52">
        <v>0</v>
      </c>
      <c r="L90" s="53"/>
      <c r="M90" s="54">
        <v>919.5</v>
      </c>
      <c r="N90" s="55">
        <v>1151.6399999999999</v>
      </c>
      <c r="O90" s="33" t="s">
        <v>54</v>
      </c>
      <c r="P90" s="84" t="s">
        <v>305</v>
      </c>
      <c r="Q90" s="92" t="s">
        <v>306</v>
      </c>
      <c r="R90" s="85"/>
      <c r="S90" s="62">
        <v>322111</v>
      </c>
      <c r="T90" s="60" t="s">
        <v>56</v>
      </c>
    </row>
    <row r="91" spans="1:20" x14ac:dyDescent="0.2">
      <c r="A91" s="45">
        <v>89</v>
      </c>
      <c r="B91" s="84" t="s">
        <v>308</v>
      </c>
      <c r="C91" s="46" t="s">
        <v>309</v>
      </c>
      <c r="D91" s="76" t="s">
        <v>417</v>
      </c>
      <c r="E91" s="74">
        <v>2130</v>
      </c>
      <c r="F91" s="52">
        <v>2130</v>
      </c>
      <c r="G91" s="50">
        <v>159.75</v>
      </c>
      <c r="H91" s="50">
        <v>303.52499999999998</v>
      </c>
      <c r="I91" s="51">
        <v>151</v>
      </c>
      <c r="J91" s="52"/>
      <c r="K91" s="52">
        <v>0</v>
      </c>
      <c r="L91" s="53"/>
      <c r="M91" s="54">
        <v>1819.25</v>
      </c>
      <c r="N91" s="55">
        <v>2433.5250000000001</v>
      </c>
      <c r="O91" s="33" t="s">
        <v>54</v>
      </c>
      <c r="P91" s="84" t="s">
        <v>308</v>
      </c>
      <c r="Q91" s="92" t="s">
        <v>309</v>
      </c>
      <c r="R91" s="85"/>
      <c r="S91" s="58">
        <v>325311</v>
      </c>
      <c r="T91" s="56" t="s">
        <v>56</v>
      </c>
    </row>
    <row r="92" spans="1:20" x14ac:dyDescent="0.2">
      <c r="A92" s="45">
        <v>90</v>
      </c>
      <c r="B92" s="84" t="s">
        <v>311</v>
      </c>
      <c r="C92" s="46" t="s">
        <v>312</v>
      </c>
      <c r="D92" s="76" t="s">
        <v>313</v>
      </c>
      <c r="E92" s="74">
        <v>1880</v>
      </c>
      <c r="F92" s="74">
        <v>1880</v>
      </c>
      <c r="G92" s="50">
        <v>141</v>
      </c>
      <c r="H92" s="50">
        <v>267.89999999999998</v>
      </c>
      <c r="I92" s="51">
        <v>107</v>
      </c>
      <c r="J92" s="52"/>
      <c r="K92" s="52">
        <v>0</v>
      </c>
      <c r="L92" s="53"/>
      <c r="M92" s="54">
        <v>1632</v>
      </c>
      <c r="N92" s="55">
        <v>2147.9</v>
      </c>
      <c r="O92" s="33" t="s">
        <v>54</v>
      </c>
      <c r="P92" s="84" t="s">
        <v>311</v>
      </c>
      <c r="Q92" s="92" t="s">
        <v>312</v>
      </c>
      <c r="R92" s="85"/>
      <c r="S92" s="62">
        <v>329111</v>
      </c>
      <c r="T92" s="60" t="s">
        <v>56</v>
      </c>
    </row>
    <row r="93" spans="1:20" x14ac:dyDescent="0.2">
      <c r="A93" s="45">
        <v>91</v>
      </c>
      <c r="B93" s="84" t="s">
        <v>314</v>
      </c>
      <c r="C93" s="46" t="s">
        <v>315</v>
      </c>
      <c r="D93" s="76" t="s">
        <v>316</v>
      </c>
      <c r="E93" s="74">
        <v>355</v>
      </c>
      <c r="F93" s="52">
        <v>355</v>
      </c>
      <c r="G93" s="50">
        <v>24</v>
      </c>
      <c r="H93" s="50">
        <v>45.599999999999994</v>
      </c>
      <c r="I93" s="51">
        <v>0</v>
      </c>
      <c r="J93" s="52"/>
      <c r="K93" s="52">
        <v>0</v>
      </c>
      <c r="L93" s="53"/>
      <c r="M93" s="54">
        <v>331</v>
      </c>
      <c r="N93" s="55">
        <v>400.6</v>
      </c>
      <c r="O93" s="33" t="s">
        <v>54</v>
      </c>
      <c r="P93" s="84" t="s">
        <v>314</v>
      </c>
      <c r="Q93" s="92" t="s">
        <v>315</v>
      </c>
      <c r="R93" s="85"/>
      <c r="S93" s="62">
        <v>318531</v>
      </c>
      <c r="T93" s="60" t="s">
        <v>317</v>
      </c>
    </row>
    <row r="94" spans="1:20" x14ac:dyDescent="0.2">
      <c r="A94" s="45">
        <v>92</v>
      </c>
      <c r="B94" s="84" t="s">
        <v>318</v>
      </c>
      <c r="C94" s="46" t="s">
        <v>319</v>
      </c>
      <c r="D94" s="76" t="s">
        <v>320</v>
      </c>
      <c r="E94" s="74">
        <v>8300</v>
      </c>
      <c r="F94" s="52">
        <v>8300</v>
      </c>
      <c r="G94" s="50">
        <v>375</v>
      </c>
      <c r="H94" s="50">
        <v>712.49999999999989</v>
      </c>
      <c r="I94" s="51">
        <v>1679.1666666666667</v>
      </c>
      <c r="J94" s="52"/>
      <c r="K94" s="52">
        <v>0</v>
      </c>
      <c r="L94" s="53"/>
      <c r="M94" s="54">
        <v>6245.833333333333</v>
      </c>
      <c r="N94" s="55">
        <v>9012.5</v>
      </c>
      <c r="O94" s="33" t="s">
        <v>54</v>
      </c>
      <c r="P94" s="84" t="s">
        <v>318</v>
      </c>
      <c r="Q94" s="92" t="s">
        <v>319</v>
      </c>
      <c r="R94" s="85"/>
      <c r="S94" s="62">
        <v>131111</v>
      </c>
      <c r="T94" s="60"/>
    </row>
    <row r="95" spans="1:20" x14ac:dyDescent="0.2">
      <c r="A95" s="45">
        <v>93</v>
      </c>
      <c r="B95" s="84" t="s">
        <v>321</v>
      </c>
      <c r="C95" s="46" t="s">
        <v>322</v>
      </c>
      <c r="D95" s="76" t="s">
        <v>323</v>
      </c>
      <c r="E95" s="74">
        <v>2550</v>
      </c>
      <c r="F95" s="52">
        <v>2550</v>
      </c>
      <c r="G95" s="50">
        <v>191.25</v>
      </c>
      <c r="H95" s="50">
        <v>363.37499999999994</v>
      </c>
      <c r="I95" s="51">
        <v>241.66666666666666</v>
      </c>
      <c r="J95" s="52"/>
      <c r="K95" s="52">
        <v>0</v>
      </c>
      <c r="L95" s="53"/>
      <c r="M95" s="54">
        <v>2117.0833333333335</v>
      </c>
      <c r="N95" s="55">
        <v>2913.375</v>
      </c>
      <c r="O95" s="33" t="s">
        <v>54</v>
      </c>
      <c r="P95" s="84" t="s">
        <v>321</v>
      </c>
      <c r="Q95" s="92" t="s">
        <v>322</v>
      </c>
      <c r="R95" s="85"/>
      <c r="S95" s="62">
        <v>318242</v>
      </c>
      <c r="T95" s="60" t="s">
        <v>324</v>
      </c>
    </row>
    <row r="96" spans="1:20" x14ac:dyDescent="0.2">
      <c r="A96" s="45">
        <v>94</v>
      </c>
      <c r="B96" s="84" t="s">
        <v>325</v>
      </c>
      <c r="C96" s="46" t="s">
        <v>326</v>
      </c>
      <c r="D96" s="76" t="s">
        <v>327</v>
      </c>
      <c r="E96" s="74">
        <v>1350</v>
      </c>
      <c r="F96" s="52">
        <v>1350</v>
      </c>
      <c r="G96" s="50">
        <v>101.25</v>
      </c>
      <c r="H96" s="50">
        <v>192.37499999999997</v>
      </c>
      <c r="I96" s="51">
        <v>39.166666666666664</v>
      </c>
      <c r="J96" s="52"/>
      <c r="K96" s="52">
        <v>0</v>
      </c>
      <c r="L96" s="53"/>
      <c r="M96" s="54">
        <v>1209.5833333333333</v>
      </c>
      <c r="N96" s="55">
        <v>1542.375</v>
      </c>
      <c r="O96" s="33" t="s">
        <v>54</v>
      </c>
      <c r="P96" s="84" t="s">
        <v>325</v>
      </c>
      <c r="Q96" s="92" t="s">
        <v>326</v>
      </c>
      <c r="R96" s="85"/>
      <c r="S96" s="62">
        <v>323111</v>
      </c>
      <c r="T96" s="60" t="s">
        <v>240</v>
      </c>
    </row>
    <row r="97" spans="1:20" x14ac:dyDescent="0.2">
      <c r="A97" s="45">
        <v>95</v>
      </c>
      <c r="B97" s="84" t="s">
        <v>328</v>
      </c>
      <c r="C97" s="46" t="s">
        <v>329</v>
      </c>
      <c r="D97" s="76" t="s">
        <v>327</v>
      </c>
      <c r="E97" s="74">
        <v>1350</v>
      </c>
      <c r="F97" s="52">
        <v>1350</v>
      </c>
      <c r="G97" s="50">
        <v>101.25</v>
      </c>
      <c r="H97" s="50">
        <v>192.37499999999997</v>
      </c>
      <c r="I97" s="51">
        <v>39.166666666666664</v>
      </c>
      <c r="J97" s="52"/>
      <c r="K97" s="52">
        <v>0</v>
      </c>
      <c r="L97" s="53"/>
      <c r="M97" s="54">
        <v>1209.5833333333333</v>
      </c>
      <c r="N97" s="55">
        <v>1542.375</v>
      </c>
      <c r="O97" s="33" t="s">
        <v>54</v>
      </c>
      <c r="P97" s="84" t="s">
        <v>328</v>
      </c>
      <c r="Q97" s="92" t="s">
        <v>329</v>
      </c>
      <c r="R97" s="85"/>
      <c r="S97" s="62">
        <v>327111</v>
      </c>
      <c r="T97" s="60" t="s">
        <v>330</v>
      </c>
    </row>
    <row r="98" spans="1:20" x14ac:dyDescent="0.2">
      <c r="A98" s="45">
        <v>96</v>
      </c>
      <c r="B98" s="84" t="s">
        <v>331</v>
      </c>
      <c r="C98" s="46" t="s">
        <v>332</v>
      </c>
      <c r="D98" s="76" t="s">
        <v>418</v>
      </c>
      <c r="E98" s="74">
        <v>320</v>
      </c>
      <c r="F98" s="52">
        <v>320</v>
      </c>
      <c r="G98" s="50">
        <v>24</v>
      </c>
      <c r="H98" s="50">
        <v>45.599999999999994</v>
      </c>
      <c r="I98" s="51">
        <v>0</v>
      </c>
      <c r="J98" s="52"/>
      <c r="K98" s="52">
        <v>0</v>
      </c>
      <c r="L98" s="53"/>
      <c r="M98" s="54">
        <v>296</v>
      </c>
      <c r="N98" s="55">
        <v>365.6</v>
      </c>
      <c r="O98" s="33" t="s">
        <v>54</v>
      </c>
      <c r="P98" s="84" t="s">
        <v>331</v>
      </c>
      <c r="Q98" s="92" t="s">
        <v>334</v>
      </c>
      <c r="R98" s="85"/>
      <c r="S98" s="58">
        <v>323111</v>
      </c>
      <c r="T98" s="56" t="s">
        <v>56</v>
      </c>
    </row>
    <row r="99" spans="1:20" x14ac:dyDescent="0.2">
      <c r="A99" s="45">
        <v>97</v>
      </c>
      <c r="B99" s="84" t="s">
        <v>335</v>
      </c>
      <c r="C99" s="46" t="s">
        <v>336</v>
      </c>
      <c r="D99" s="76" t="s">
        <v>337</v>
      </c>
      <c r="E99" s="74">
        <v>1700</v>
      </c>
      <c r="F99" s="52">
        <v>1700</v>
      </c>
      <c r="G99" s="50">
        <v>127.5</v>
      </c>
      <c r="H99" s="50">
        <v>242.24999999999997</v>
      </c>
      <c r="I99" s="51">
        <v>80</v>
      </c>
      <c r="J99" s="52"/>
      <c r="K99" s="52">
        <v>0</v>
      </c>
      <c r="L99" s="53"/>
      <c r="M99" s="54">
        <v>1492.5</v>
      </c>
      <c r="N99" s="55">
        <v>1942.25</v>
      </c>
      <c r="O99" s="33" t="s">
        <v>54</v>
      </c>
      <c r="P99" s="84" t="s">
        <v>335</v>
      </c>
      <c r="Q99" s="92" t="s">
        <v>338</v>
      </c>
      <c r="S99" s="62" t="s">
        <v>339</v>
      </c>
      <c r="T99" s="60" t="s">
        <v>177</v>
      </c>
    </row>
    <row r="100" spans="1:20" x14ac:dyDescent="0.2">
      <c r="A100" s="45">
        <v>98</v>
      </c>
      <c r="B100" s="84" t="s">
        <v>340</v>
      </c>
      <c r="C100" s="46" t="s">
        <v>341</v>
      </c>
      <c r="D100" s="76" t="s">
        <v>327</v>
      </c>
      <c r="E100" s="74">
        <v>1350</v>
      </c>
      <c r="F100" s="52">
        <v>1350</v>
      </c>
      <c r="G100" s="50">
        <v>101.25</v>
      </c>
      <c r="H100" s="50">
        <v>192.37499999999997</v>
      </c>
      <c r="I100" s="51">
        <v>39.166666666666664</v>
      </c>
      <c r="J100" s="52"/>
      <c r="K100" s="52">
        <v>0</v>
      </c>
      <c r="L100" s="53"/>
      <c r="M100" s="54">
        <v>1209.5833333333333</v>
      </c>
      <c r="N100" s="55">
        <v>1542.375</v>
      </c>
      <c r="O100" s="33" t="s">
        <v>54</v>
      </c>
      <c r="P100" s="84" t="s">
        <v>340</v>
      </c>
      <c r="Q100" s="92" t="s">
        <v>342</v>
      </c>
      <c r="S100" s="62">
        <v>327111</v>
      </c>
      <c r="T100" s="60" t="s">
        <v>56</v>
      </c>
    </row>
    <row r="101" spans="1:20" x14ac:dyDescent="0.2">
      <c r="A101" s="45">
        <v>99</v>
      </c>
      <c r="B101" s="84" t="s">
        <v>343</v>
      </c>
      <c r="C101" s="46" t="s">
        <v>344</v>
      </c>
      <c r="D101" s="76" t="s">
        <v>94</v>
      </c>
      <c r="E101" s="74">
        <v>2700</v>
      </c>
      <c r="F101" s="52">
        <v>2700</v>
      </c>
      <c r="G101" s="50">
        <v>202.5</v>
      </c>
      <c r="H101" s="50">
        <v>384.74999999999994</v>
      </c>
      <c r="I101" s="51">
        <v>117.5</v>
      </c>
      <c r="J101" s="52"/>
      <c r="K101" s="52">
        <v>0</v>
      </c>
      <c r="L101" s="53"/>
      <c r="M101" s="54">
        <v>2380</v>
      </c>
      <c r="N101" s="55">
        <v>3084.75</v>
      </c>
      <c r="O101" s="33" t="s">
        <v>345</v>
      </c>
      <c r="P101" s="84" t="s">
        <v>343</v>
      </c>
      <c r="Q101" s="92" t="s">
        <v>346</v>
      </c>
      <c r="S101" s="62">
        <v>329111</v>
      </c>
      <c r="T101" s="60" t="s">
        <v>56</v>
      </c>
    </row>
    <row r="102" spans="1:20" x14ac:dyDescent="0.2">
      <c r="A102" s="45">
        <v>100</v>
      </c>
      <c r="B102" s="84" t="s">
        <v>350</v>
      </c>
      <c r="C102" s="46" t="s">
        <v>351</v>
      </c>
      <c r="D102" s="76" t="s">
        <v>352</v>
      </c>
      <c r="E102" s="74">
        <v>800</v>
      </c>
      <c r="F102" s="52">
        <v>800</v>
      </c>
      <c r="G102" s="50">
        <v>60</v>
      </c>
      <c r="H102" s="50">
        <v>113.99999999999999</v>
      </c>
      <c r="I102" s="51">
        <v>2.5</v>
      </c>
      <c r="J102" s="52"/>
      <c r="K102" s="52">
        <v>0</v>
      </c>
      <c r="L102" s="53"/>
      <c r="M102" s="54">
        <v>737.5</v>
      </c>
      <c r="N102" s="55">
        <v>914</v>
      </c>
      <c r="O102" s="33" t="s">
        <v>353</v>
      </c>
      <c r="P102" s="84" t="s">
        <v>350</v>
      </c>
      <c r="Q102" s="92" t="s">
        <v>351</v>
      </c>
      <c r="S102" s="62" t="s">
        <v>354</v>
      </c>
      <c r="T102" s="60" t="s">
        <v>355</v>
      </c>
    </row>
    <row r="103" spans="1:20" x14ac:dyDescent="0.2">
      <c r="A103" s="45">
        <v>101</v>
      </c>
      <c r="B103" s="84" t="s">
        <v>356</v>
      </c>
      <c r="C103" s="46" t="s">
        <v>357</v>
      </c>
      <c r="D103" s="76" t="s">
        <v>250</v>
      </c>
      <c r="E103" s="74">
        <v>1135</v>
      </c>
      <c r="F103" s="52">
        <v>1135</v>
      </c>
      <c r="G103" s="50">
        <v>85.125</v>
      </c>
      <c r="H103" s="50">
        <v>161.73749999999998</v>
      </c>
      <c r="I103" s="51">
        <v>19.25</v>
      </c>
      <c r="J103" s="52"/>
      <c r="K103" s="52">
        <v>0</v>
      </c>
      <c r="L103" s="53"/>
      <c r="M103" s="54">
        <v>1030.625</v>
      </c>
      <c r="N103" s="55">
        <v>1296.7375</v>
      </c>
      <c r="O103" s="33" t="s">
        <v>353</v>
      </c>
      <c r="P103" s="84" t="s">
        <v>356</v>
      </c>
      <c r="Q103" s="92" t="s">
        <v>357</v>
      </c>
      <c r="S103" s="62" t="s">
        <v>358</v>
      </c>
      <c r="T103" s="60" t="s">
        <v>56</v>
      </c>
    </row>
    <row r="104" spans="1:20" x14ac:dyDescent="0.2">
      <c r="A104" s="45">
        <v>102</v>
      </c>
      <c r="B104" s="84" t="s">
        <v>359</v>
      </c>
      <c r="C104" s="46" t="s">
        <v>360</v>
      </c>
      <c r="D104" s="76" t="s">
        <v>307</v>
      </c>
      <c r="E104" s="74">
        <v>640</v>
      </c>
      <c r="F104" s="52">
        <v>640</v>
      </c>
      <c r="G104" s="50">
        <v>48</v>
      </c>
      <c r="H104" s="50">
        <v>91.199999999999989</v>
      </c>
      <c r="I104" s="51">
        <v>0</v>
      </c>
      <c r="J104" s="52"/>
      <c r="K104" s="52">
        <v>0</v>
      </c>
      <c r="L104" s="53"/>
      <c r="M104" s="54">
        <v>592</v>
      </c>
      <c r="N104" s="55">
        <v>731.2</v>
      </c>
      <c r="O104" s="33" t="s">
        <v>353</v>
      </c>
      <c r="P104" s="84" t="s">
        <v>359</v>
      </c>
      <c r="Q104" s="92" t="s">
        <v>360</v>
      </c>
      <c r="S104" s="58">
        <v>327111</v>
      </c>
      <c r="T104" s="56" t="s">
        <v>56</v>
      </c>
    </row>
    <row r="105" spans="1:20" x14ac:dyDescent="0.2">
      <c r="A105" s="45">
        <v>103</v>
      </c>
      <c r="B105" s="84" t="s">
        <v>361</v>
      </c>
      <c r="C105" s="46" t="s">
        <v>362</v>
      </c>
      <c r="D105" s="76" t="s">
        <v>363</v>
      </c>
      <c r="E105" s="74">
        <v>850</v>
      </c>
      <c r="F105" s="52">
        <v>850</v>
      </c>
      <c r="G105" s="50">
        <v>63.75</v>
      </c>
      <c r="H105" s="50">
        <v>121.12499999999999</v>
      </c>
      <c r="I105" s="51">
        <v>5</v>
      </c>
      <c r="J105" s="52"/>
      <c r="K105" s="52">
        <v>0</v>
      </c>
      <c r="L105" s="53"/>
      <c r="M105" s="54">
        <v>781.25</v>
      </c>
      <c r="N105" s="55">
        <v>971.125</v>
      </c>
      <c r="O105" s="33" t="s">
        <v>353</v>
      </c>
      <c r="P105" s="84" t="s">
        <v>361</v>
      </c>
      <c r="Q105" s="92" t="s">
        <v>362</v>
      </c>
      <c r="S105" s="152" t="s">
        <v>462</v>
      </c>
      <c r="T105" s="60" t="s">
        <v>177</v>
      </c>
    </row>
    <row r="106" spans="1:20" x14ac:dyDescent="0.2">
      <c r="A106" s="45">
        <v>104</v>
      </c>
      <c r="B106" s="84" t="s">
        <v>369</v>
      </c>
      <c r="C106" s="46" t="s">
        <v>370</v>
      </c>
      <c r="D106" s="76" t="s">
        <v>371</v>
      </c>
      <c r="E106" s="74">
        <v>1525</v>
      </c>
      <c r="F106" s="52">
        <v>1525</v>
      </c>
      <c r="G106" s="50">
        <v>114.375</v>
      </c>
      <c r="H106" s="50">
        <v>217.31249999999997</v>
      </c>
      <c r="I106" s="51">
        <v>1.25</v>
      </c>
      <c r="J106" s="52"/>
      <c r="K106" s="52">
        <v>0</v>
      </c>
      <c r="L106" s="53"/>
      <c r="M106" s="54">
        <v>1409.375</v>
      </c>
      <c r="N106" s="55">
        <v>1742.3125</v>
      </c>
      <c r="O106" s="33" t="s">
        <v>69</v>
      </c>
      <c r="P106" s="84" t="s">
        <v>369</v>
      </c>
      <c r="Q106" s="92" t="s">
        <v>370</v>
      </c>
      <c r="S106" s="62">
        <v>329111</v>
      </c>
      <c r="T106" s="153" t="s">
        <v>56</v>
      </c>
    </row>
    <row r="107" spans="1:20" x14ac:dyDescent="0.2">
      <c r="A107" s="45">
        <v>105</v>
      </c>
      <c r="B107" s="84" t="s">
        <v>372</v>
      </c>
      <c r="C107" s="46" t="s">
        <v>373</v>
      </c>
      <c r="D107" s="76" t="s">
        <v>374</v>
      </c>
      <c r="E107" s="74">
        <v>1400</v>
      </c>
      <c r="F107" s="52">
        <v>1400</v>
      </c>
      <c r="G107" s="50">
        <v>105</v>
      </c>
      <c r="H107" s="50">
        <v>199.49999999999997</v>
      </c>
      <c r="I107" s="51">
        <v>0</v>
      </c>
      <c r="J107" s="52"/>
      <c r="K107" s="52">
        <v>0</v>
      </c>
      <c r="L107" s="53"/>
      <c r="M107" s="54">
        <v>1295</v>
      </c>
      <c r="N107" s="55">
        <v>1599.5</v>
      </c>
      <c r="O107" s="33" t="s">
        <v>69</v>
      </c>
      <c r="P107" s="84" t="s">
        <v>372</v>
      </c>
      <c r="Q107" s="92" t="s">
        <v>373</v>
      </c>
      <c r="S107" s="62">
        <v>121111</v>
      </c>
      <c r="T107" s="153" t="s">
        <v>110</v>
      </c>
    </row>
    <row r="108" spans="1:20" x14ac:dyDescent="0.2">
      <c r="A108" s="45">
        <v>106</v>
      </c>
      <c r="B108" s="84" t="s">
        <v>375</v>
      </c>
      <c r="C108" s="46" t="s">
        <v>376</v>
      </c>
      <c r="D108" s="76" t="s">
        <v>377</v>
      </c>
      <c r="E108" s="74">
        <v>1210</v>
      </c>
      <c r="F108" s="52">
        <v>1210</v>
      </c>
      <c r="G108" s="50">
        <v>90.75</v>
      </c>
      <c r="H108" s="50">
        <v>172.42499999999998</v>
      </c>
      <c r="I108" s="51">
        <v>0</v>
      </c>
      <c r="J108" s="52"/>
      <c r="K108" s="52">
        <v>0</v>
      </c>
      <c r="L108" s="53"/>
      <c r="M108" s="54">
        <v>1119.25</v>
      </c>
      <c r="N108" s="55">
        <v>1382.425</v>
      </c>
      <c r="O108" s="33" t="s">
        <v>69</v>
      </c>
      <c r="P108" s="84" t="s">
        <v>375</v>
      </c>
      <c r="Q108" s="92" t="s">
        <v>376</v>
      </c>
      <c r="S108" s="62" t="s">
        <v>358</v>
      </c>
      <c r="T108" s="72" t="s">
        <v>56</v>
      </c>
    </row>
    <row r="109" spans="1:20" x14ac:dyDescent="0.2">
      <c r="A109" s="45">
        <v>107</v>
      </c>
      <c r="B109" s="84" t="s">
        <v>378</v>
      </c>
      <c r="C109" s="46" t="s">
        <v>379</v>
      </c>
      <c r="D109" s="76" t="s">
        <v>380</v>
      </c>
      <c r="E109" s="74">
        <v>570</v>
      </c>
      <c r="F109" s="52">
        <v>570</v>
      </c>
      <c r="G109" s="50">
        <v>42.75</v>
      </c>
      <c r="H109" s="50">
        <v>81.224999999999994</v>
      </c>
      <c r="I109" s="51">
        <v>0</v>
      </c>
      <c r="J109" s="52"/>
      <c r="K109" s="52">
        <v>0</v>
      </c>
      <c r="L109" s="53"/>
      <c r="M109" s="54">
        <v>527.25</v>
      </c>
      <c r="N109" s="55">
        <v>651.22500000000002</v>
      </c>
      <c r="O109" s="33" t="s">
        <v>54</v>
      </c>
      <c r="P109" s="84" t="s">
        <v>378</v>
      </c>
      <c r="Q109" s="92" t="s">
        <v>379</v>
      </c>
      <c r="S109" s="62">
        <v>329111</v>
      </c>
      <c r="T109" s="60" t="s">
        <v>56</v>
      </c>
    </row>
    <row r="110" spans="1:20" x14ac:dyDescent="0.2">
      <c r="A110" s="45">
        <v>108</v>
      </c>
      <c r="B110" s="84" t="s">
        <v>381</v>
      </c>
      <c r="C110" s="46" t="s">
        <v>382</v>
      </c>
      <c r="D110" s="76" t="s">
        <v>383</v>
      </c>
      <c r="E110" s="74">
        <v>320</v>
      </c>
      <c r="F110" s="52">
        <v>320</v>
      </c>
      <c r="G110" s="50">
        <v>24</v>
      </c>
      <c r="H110" s="50">
        <v>45.599999999999994</v>
      </c>
      <c r="I110" s="51">
        <v>0</v>
      </c>
      <c r="J110" s="52"/>
      <c r="K110" s="52">
        <v>0</v>
      </c>
      <c r="L110" s="53"/>
      <c r="M110" s="54">
        <v>296</v>
      </c>
      <c r="N110" s="55">
        <v>365.6</v>
      </c>
      <c r="O110" s="33" t="s">
        <v>353</v>
      </c>
      <c r="P110" s="84" t="s">
        <v>381</v>
      </c>
      <c r="Q110" s="92" t="s">
        <v>382</v>
      </c>
      <c r="S110" s="58">
        <v>329111</v>
      </c>
      <c r="T110" s="60" t="s">
        <v>56</v>
      </c>
    </row>
    <row r="111" spans="1:20" x14ac:dyDescent="0.2">
      <c r="A111" s="45">
        <v>109</v>
      </c>
      <c r="B111" s="84" t="s">
        <v>384</v>
      </c>
      <c r="C111" s="46" t="s">
        <v>385</v>
      </c>
      <c r="D111" s="76" t="s">
        <v>386</v>
      </c>
      <c r="E111" s="130">
        <v>550</v>
      </c>
      <c r="F111" s="131">
        <v>550</v>
      </c>
      <c r="G111" s="132">
        <v>41.25</v>
      </c>
      <c r="H111" s="132">
        <v>78.375</v>
      </c>
      <c r="I111" s="51">
        <v>0</v>
      </c>
      <c r="J111" s="131"/>
      <c r="K111" s="52">
        <v>0</v>
      </c>
      <c r="L111" s="133"/>
      <c r="M111" s="54">
        <v>508.75</v>
      </c>
      <c r="N111" s="134">
        <v>628.375</v>
      </c>
      <c r="O111" s="33" t="s">
        <v>353</v>
      </c>
      <c r="P111" s="84" t="s">
        <v>384</v>
      </c>
      <c r="Q111" s="92" t="s">
        <v>385</v>
      </c>
      <c r="S111" s="62">
        <v>121111</v>
      </c>
      <c r="T111" s="153" t="s">
        <v>110</v>
      </c>
    </row>
    <row r="112" spans="1:20" x14ac:dyDescent="0.2">
      <c r="A112" s="45">
        <v>110</v>
      </c>
      <c r="B112" s="84" t="s">
        <v>387</v>
      </c>
      <c r="C112" s="46" t="s">
        <v>388</v>
      </c>
      <c r="D112" s="76" t="s">
        <v>389</v>
      </c>
      <c r="E112" s="50">
        <v>320</v>
      </c>
      <c r="F112" s="52">
        <v>320</v>
      </c>
      <c r="G112" s="50">
        <v>24</v>
      </c>
      <c r="H112" s="50">
        <v>45.599999999999994</v>
      </c>
      <c r="I112" s="51">
        <v>0</v>
      </c>
      <c r="J112" s="52"/>
      <c r="K112" s="52">
        <v>0</v>
      </c>
      <c r="L112" s="52"/>
      <c r="M112" s="54">
        <v>296</v>
      </c>
      <c r="N112" s="50">
        <v>365.6</v>
      </c>
      <c r="O112" s="66" t="s">
        <v>353</v>
      </c>
      <c r="P112" s="135" t="s">
        <v>387</v>
      </c>
      <c r="Q112" s="67" t="s">
        <v>388</v>
      </c>
      <c r="S112" s="62">
        <v>329111</v>
      </c>
      <c r="T112" s="153" t="s">
        <v>56</v>
      </c>
    </row>
    <row r="113" spans="1:20" x14ac:dyDescent="0.2">
      <c r="A113" s="45">
        <v>111</v>
      </c>
      <c r="B113" s="84" t="s">
        <v>390</v>
      </c>
      <c r="C113" s="46" t="s">
        <v>391</v>
      </c>
      <c r="D113" s="76" t="s">
        <v>392</v>
      </c>
      <c r="E113" s="50">
        <v>780</v>
      </c>
      <c r="F113" s="52">
        <v>780</v>
      </c>
      <c r="G113" s="50">
        <v>58.5</v>
      </c>
      <c r="H113" s="50">
        <v>111.14999999999999</v>
      </c>
      <c r="I113" s="51">
        <v>1.5</v>
      </c>
      <c r="J113" s="52"/>
      <c r="K113" s="52">
        <v>0</v>
      </c>
      <c r="L113" s="52"/>
      <c r="M113" s="54">
        <v>720</v>
      </c>
      <c r="N113" s="50">
        <v>891.15</v>
      </c>
      <c r="O113" s="66" t="s">
        <v>353</v>
      </c>
      <c r="P113" s="135" t="s">
        <v>390</v>
      </c>
      <c r="Q113" s="67" t="s">
        <v>391</v>
      </c>
      <c r="S113" s="62">
        <v>139111</v>
      </c>
      <c r="T113" s="154" t="s">
        <v>463</v>
      </c>
    </row>
    <row r="114" spans="1:20" x14ac:dyDescent="0.2">
      <c r="A114" s="45">
        <v>112</v>
      </c>
      <c r="B114" s="84" t="s">
        <v>419</v>
      </c>
      <c r="C114" s="46" t="s">
        <v>420</v>
      </c>
      <c r="D114" s="76" t="s">
        <v>274</v>
      </c>
      <c r="E114" s="50">
        <v>1065</v>
      </c>
      <c r="F114" s="52">
        <v>1065</v>
      </c>
      <c r="G114" s="50">
        <v>79.875</v>
      </c>
      <c r="H114" s="50">
        <v>151.76249999999999</v>
      </c>
      <c r="I114" s="51">
        <v>15.75</v>
      </c>
      <c r="J114" s="52"/>
      <c r="K114" s="52">
        <v>0</v>
      </c>
      <c r="L114" s="52"/>
      <c r="M114" s="54">
        <v>969.375</v>
      </c>
      <c r="N114" s="50">
        <v>1216.7625</v>
      </c>
      <c r="O114" s="66" t="s">
        <v>353</v>
      </c>
      <c r="P114" s="84" t="s">
        <v>419</v>
      </c>
      <c r="Q114" s="108" t="s">
        <v>420</v>
      </c>
      <c r="S114" s="62" t="s">
        <v>358</v>
      </c>
      <c r="T114" s="153" t="s">
        <v>56</v>
      </c>
    </row>
    <row r="115" spans="1:20" x14ac:dyDescent="0.2">
      <c r="A115" s="45">
        <v>113</v>
      </c>
      <c r="B115" s="84" t="s">
        <v>421</v>
      </c>
      <c r="C115" s="46" t="s">
        <v>422</v>
      </c>
      <c r="D115" s="76" t="s">
        <v>423</v>
      </c>
      <c r="E115" s="50">
        <v>3650</v>
      </c>
      <c r="F115" s="52">
        <v>3650</v>
      </c>
      <c r="G115" s="50">
        <v>273.75</v>
      </c>
      <c r="H115" s="50">
        <v>520.125</v>
      </c>
      <c r="I115" s="51">
        <v>329.16666666666669</v>
      </c>
      <c r="J115" s="52"/>
      <c r="K115" s="52">
        <v>0</v>
      </c>
      <c r="L115" s="52"/>
      <c r="M115" s="54">
        <v>3047.083333333333</v>
      </c>
      <c r="N115" s="50">
        <v>4170.125</v>
      </c>
      <c r="O115" s="66" t="s">
        <v>345</v>
      </c>
      <c r="P115" s="84" t="s">
        <v>421</v>
      </c>
      <c r="Q115" s="108" t="s">
        <v>422</v>
      </c>
      <c r="S115" s="62">
        <v>329421</v>
      </c>
      <c r="T115" s="153" t="s">
        <v>56</v>
      </c>
    </row>
    <row r="116" spans="1:20" x14ac:dyDescent="0.2">
      <c r="A116" s="45">
        <v>114</v>
      </c>
      <c r="B116" s="84" t="s">
        <v>424</v>
      </c>
      <c r="C116" s="144" t="s">
        <v>425</v>
      </c>
      <c r="D116" s="76" t="s">
        <v>426</v>
      </c>
      <c r="E116" s="132">
        <v>1560</v>
      </c>
      <c r="F116" s="131">
        <v>1560</v>
      </c>
      <c r="G116" s="132">
        <v>117</v>
      </c>
      <c r="H116" s="132">
        <v>222.29999999999998</v>
      </c>
      <c r="I116" s="51">
        <v>60.166666666666664</v>
      </c>
      <c r="J116" s="131"/>
      <c r="K116" s="131">
        <v>0</v>
      </c>
      <c r="L116" s="131"/>
      <c r="M116" s="54">
        <v>1382.8333333333333</v>
      </c>
      <c r="N116" s="132">
        <v>1782.3</v>
      </c>
      <c r="O116" s="157" t="s">
        <v>353</v>
      </c>
      <c r="P116" s="84" t="s">
        <v>424</v>
      </c>
      <c r="Q116" s="108" t="s">
        <v>425</v>
      </c>
      <c r="S116" s="62">
        <v>318462</v>
      </c>
      <c r="T116" s="153" t="s">
        <v>324</v>
      </c>
    </row>
    <row r="117" spans="1:20" x14ac:dyDescent="0.2">
      <c r="A117" s="45">
        <v>115</v>
      </c>
      <c r="B117" s="135" t="s">
        <v>427</v>
      </c>
      <c r="C117" s="46" t="s">
        <v>428</v>
      </c>
      <c r="D117" s="158" t="s">
        <v>429</v>
      </c>
      <c r="E117" s="50">
        <v>995</v>
      </c>
      <c r="F117" s="52">
        <v>994.99999999999989</v>
      </c>
      <c r="G117" s="50">
        <v>74.625</v>
      </c>
      <c r="H117" s="50">
        <v>141.78749999999999</v>
      </c>
      <c r="I117" s="51">
        <v>12.249999999999993</v>
      </c>
      <c r="J117" s="52"/>
      <c r="K117" s="52">
        <v>0</v>
      </c>
      <c r="L117" s="52"/>
      <c r="M117" s="54">
        <v>908.12499999999989</v>
      </c>
      <c r="N117" s="50">
        <v>1136.7874999999999</v>
      </c>
      <c r="O117" s="66" t="s">
        <v>353</v>
      </c>
      <c r="P117" s="135" t="s">
        <v>427</v>
      </c>
      <c r="Q117" s="67" t="s">
        <v>428</v>
      </c>
      <c r="S117" s="58">
        <v>329111</v>
      </c>
      <c r="T117" s="153" t="s">
        <v>56</v>
      </c>
    </row>
    <row r="118" spans="1:20" x14ac:dyDescent="0.2">
      <c r="A118" s="45">
        <v>116</v>
      </c>
      <c r="B118" s="135" t="s">
        <v>430</v>
      </c>
      <c r="C118" s="46" t="s">
        <v>431</v>
      </c>
      <c r="D118" s="158" t="s">
        <v>432</v>
      </c>
      <c r="E118" s="50">
        <v>780</v>
      </c>
      <c r="F118" s="52">
        <v>780</v>
      </c>
      <c r="G118" s="50">
        <v>58.5</v>
      </c>
      <c r="H118" s="50">
        <v>111.14999999999999</v>
      </c>
      <c r="I118" s="51">
        <v>1.5</v>
      </c>
      <c r="J118" s="52"/>
      <c r="K118" s="52">
        <v>0</v>
      </c>
      <c r="L118" s="52"/>
      <c r="M118" s="54">
        <v>720</v>
      </c>
      <c r="N118" s="50">
        <v>891.15</v>
      </c>
      <c r="O118" s="66" t="s">
        <v>353</v>
      </c>
      <c r="P118" s="135" t="s">
        <v>430</v>
      </c>
      <c r="Q118" s="67" t="s">
        <v>431</v>
      </c>
      <c r="S118" s="62" t="s">
        <v>462</v>
      </c>
      <c r="T118" s="91" t="s">
        <v>177</v>
      </c>
    </row>
    <row r="119" spans="1:20" x14ac:dyDescent="0.2">
      <c r="A119" s="45">
        <v>117</v>
      </c>
      <c r="B119" s="135" t="s">
        <v>433</v>
      </c>
      <c r="C119" s="46" t="s">
        <v>434</v>
      </c>
      <c r="D119" s="158" t="s">
        <v>435</v>
      </c>
      <c r="E119" s="50">
        <v>1210</v>
      </c>
      <c r="F119" s="52">
        <v>1210</v>
      </c>
      <c r="G119" s="50">
        <v>90.75</v>
      </c>
      <c r="H119" s="50">
        <v>172.42499999999998</v>
      </c>
      <c r="I119" s="51">
        <v>25.166666666666668</v>
      </c>
      <c r="J119" s="52"/>
      <c r="K119" s="52">
        <v>0</v>
      </c>
      <c r="L119" s="52"/>
      <c r="M119" s="54">
        <v>1094.0833333333333</v>
      </c>
      <c r="N119" s="50">
        <v>1382.425</v>
      </c>
      <c r="O119" s="66" t="s">
        <v>353</v>
      </c>
      <c r="P119" s="135" t="s">
        <v>433</v>
      </c>
      <c r="Q119" s="67" t="s">
        <v>434</v>
      </c>
      <c r="S119" s="62" t="s">
        <v>358</v>
      </c>
      <c r="T119" s="153" t="s">
        <v>56</v>
      </c>
    </row>
    <row r="120" spans="1:20" x14ac:dyDescent="0.2">
      <c r="A120" s="45">
        <v>118</v>
      </c>
      <c r="B120" s="135" t="s">
        <v>437</v>
      </c>
      <c r="C120" s="46" t="s">
        <v>438</v>
      </c>
      <c r="D120" s="158" t="s">
        <v>439</v>
      </c>
      <c r="E120" s="50">
        <v>850</v>
      </c>
      <c r="F120" s="52">
        <v>850</v>
      </c>
      <c r="G120" s="50">
        <v>63.75</v>
      </c>
      <c r="H120" s="50">
        <v>121.12499999999999</v>
      </c>
      <c r="I120" s="51">
        <v>5</v>
      </c>
      <c r="J120" s="52"/>
      <c r="K120" s="52">
        <v>0</v>
      </c>
      <c r="L120" s="52"/>
      <c r="M120" s="54">
        <v>781.25</v>
      </c>
      <c r="N120" s="50">
        <v>971.125</v>
      </c>
      <c r="O120" s="66" t="s">
        <v>353</v>
      </c>
      <c r="P120" s="135" t="s">
        <v>437</v>
      </c>
      <c r="Q120" s="67" t="s">
        <v>438</v>
      </c>
      <c r="S120" s="62">
        <v>329111</v>
      </c>
      <c r="T120" s="153" t="s">
        <v>56</v>
      </c>
    </row>
    <row r="121" spans="1:20" x14ac:dyDescent="0.2">
      <c r="A121" s="45">
        <v>119</v>
      </c>
      <c r="B121" s="135" t="s">
        <v>464</v>
      </c>
      <c r="C121" s="67" t="s">
        <v>465</v>
      </c>
      <c r="D121" s="158" t="s">
        <v>466</v>
      </c>
      <c r="E121" s="50">
        <v>1065</v>
      </c>
      <c r="F121" s="52">
        <v>1339.8387096774193</v>
      </c>
      <c r="G121" s="50">
        <v>79.875</v>
      </c>
      <c r="H121" s="50">
        <v>151.76249999999999</v>
      </c>
      <c r="I121" s="51">
        <v>0</v>
      </c>
      <c r="J121" s="52"/>
      <c r="K121" s="52"/>
      <c r="L121" s="52"/>
      <c r="M121" s="54">
        <v>1259.9637096774193</v>
      </c>
      <c r="N121" s="50">
        <v>1491.6012096774193</v>
      </c>
      <c r="O121" s="66" t="s">
        <v>69</v>
      </c>
      <c r="P121" s="135" t="s">
        <v>464</v>
      </c>
      <c r="Q121" s="67" t="s">
        <v>465</v>
      </c>
      <c r="S121" s="122"/>
      <c r="T121" s="155"/>
    </row>
    <row r="122" spans="1:20" x14ac:dyDescent="0.2">
      <c r="A122" s="45">
        <v>120</v>
      </c>
      <c r="B122" s="135" t="s">
        <v>467</v>
      </c>
      <c r="C122" s="67" t="s">
        <v>468</v>
      </c>
      <c r="D122" s="158" t="s">
        <v>469</v>
      </c>
      <c r="E122" s="50">
        <v>1630</v>
      </c>
      <c r="F122" s="52">
        <v>2050.6451612903224</v>
      </c>
      <c r="G122" s="50">
        <v>122.25</v>
      </c>
      <c r="H122" s="50">
        <v>232.27499999999998</v>
      </c>
      <c r="I122" s="51">
        <v>135.12903225806451</v>
      </c>
      <c r="J122" s="52"/>
      <c r="K122" s="52"/>
      <c r="L122" s="52"/>
      <c r="M122" s="54">
        <v>1793.266129032258</v>
      </c>
      <c r="N122" s="50">
        <v>2282.9201612903225</v>
      </c>
      <c r="O122" s="66" t="s">
        <v>54</v>
      </c>
      <c r="P122" s="135" t="s">
        <v>467</v>
      </c>
      <c r="Q122" s="67" t="s">
        <v>468</v>
      </c>
      <c r="S122" s="122"/>
      <c r="T122" s="155"/>
    </row>
    <row r="123" spans="1:20" x14ac:dyDescent="0.2">
      <c r="A123" s="45">
        <v>121</v>
      </c>
      <c r="B123" s="135" t="s">
        <v>470</v>
      </c>
      <c r="C123" s="67" t="s">
        <v>471</v>
      </c>
      <c r="D123" s="158" t="s">
        <v>219</v>
      </c>
      <c r="E123" s="50">
        <v>1135</v>
      </c>
      <c r="F123" s="52">
        <v>1427.9032258064517</v>
      </c>
      <c r="G123" s="50">
        <v>85.125</v>
      </c>
      <c r="H123" s="50">
        <v>161.73749999999998</v>
      </c>
      <c r="I123" s="51">
        <v>46.956989247311839</v>
      </c>
      <c r="J123" s="52"/>
      <c r="K123" s="52"/>
      <c r="L123" s="52"/>
      <c r="M123" s="54">
        <v>1295.8212365591398</v>
      </c>
      <c r="N123" s="50">
        <v>1589.6407258064517</v>
      </c>
      <c r="O123" s="66" t="s">
        <v>54</v>
      </c>
      <c r="P123" s="135" t="s">
        <v>470</v>
      </c>
      <c r="Q123" s="67" t="s">
        <v>471</v>
      </c>
      <c r="S123" s="122"/>
      <c r="T123" s="155"/>
    </row>
    <row r="124" spans="1:20" x14ac:dyDescent="0.2">
      <c r="A124" s="45">
        <v>122</v>
      </c>
      <c r="B124" s="135" t="s">
        <v>472</v>
      </c>
      <c r="C124" s="67" t="s">
        <v>473</v>
      </c>
      <c r="D124" s="158" t="s">
        <v>474</v>
      </c>
      <c r="E124" s="50">
        <v>320</v>
      </c>
      <c r="F124" s="52">
        <v>402.58064516129031</v>
      </c>
      <c r="G124" s="50">
        <v>24</v>
      </c>
      <c r="H124" s="50">
        <v>45.599999999999994</v>
      </c>
      <c r="I124" s="51">
        <v>0</v>
      </c>
      <c r="J124" s="52"/>
      <c r="K124" s="52"/>
      <c r="L124" s="52"/>
      <c r="M124" s="54">
        <v>378.58064516129031</v>
      </c>
      <c r="N124" s="50">
        <v>448.18064516129027</v>
      </c>
      <c r="O124" s="66" t="s">
        <v>54</v>
      </c>
      <c r="P124" s="135" t="s">
        <v>472</v>
      </c>
      <c r="Q124" s="67" t="s">
        <v>473</v>
      </c>
      <c r="S124" s="122"/>
      <c r="T124" s="155"/>
    </row>
    <row r="125" spans="1:20" x14ac:dyDescent="0.2">
      <c r="A125" s="45">
        <v>123</v>
      </c>
      <c r="B125" s="135" t="s">
        <v>475</v>
      </c>
      <c r="C125" s="67" t="s">
        <v>476</v>
      </c>
      <c r="D125" s="158" t="s">
        <v>474</v>
      </c>
      <c r="E125" s="50">
        <v>320</v>
      </c>
      <c r="F125" s="52">
        <v>402.58064516129031</v>
      </c>
      <c r="G125" s="50">
        <v>24</v>
      </c>
      <c r="H125" s="50">
        <v>45.599999999999994</v>
      </c>
      <c r="I125" s="51">
        <v>0</v>
      </c>
      <c r="J125" s="52"/>
      <c r="K125" s="52"/>
      <c r="L125" s="52"/>
      <c r="M125" s="54">
        <v>378.58064516129031</v>
      </c>
      <c r="N125" s="50">
        <v>448.18064516129027</v>
      </c>
      <c r="O125" s="66" t="s">
        <v>54</v>
      </c>
      <c r="P125" s="135" t="s">
        <v>475</v>
      </c>
      <c r="Q125" s="67" t="s">
        <v>476</v>
      </c>
      <c r="S125" s="122"/>
      <c r="T125" s="155"/>
    </row>
    <row r="126" spans="1:20" x14ac:dyDescent="0.2">
      <c r="A126" s="45">
        <v>124</v>
      </c>
      <c r="B126" s="135" t="s">
        <v>477</v>
      </c>
      <c r="C126" s="67" t="s">
        <v>478</v>
      </c>
      <c r="D126" s="158" t="s">
        <v>474</v>
      </c>
      <c r="E126" s="50">
        <v>320</v>
      </c>
      <c r="F126" s="52">
        <v>402.58064516129031</v>
      </c>
      <c r="G126" s="50">
        <v>24</v>
      </c>
      <c r="H126" s="50">
        <v>45.599999999999994</v>
      </c>
      <c r="I126" s="51">
        <v>0</v>
      </c>
      <c r="J126" s="52"/>
      <c r="K126" s="52"/>
      <c r="L126" s="52"/>
      <c r="M126" s="54">
        <v>378.58064516129031</v>
      </c>
      <c r="N126" s="50">
        <v>448.18064516129027</v>
      </c>
      <c r="O126" s="66" t="s">
        <v>54</v>
      </c>
      <c r="P126" s="135" t="s">
        <v>477</v>
      </c>
      <c r="Q126" s="67" t="s">
        <v>478</v>
      </c>
      <c r="S126" s="122"/>
      <c r="T126" s="155"/>
    </row>
    <row r="127" spans="1:20" x14ac:dyDescent="0.2">
      <c r="A127" s="45">
        <v>125</v>
      </c>
      <c r="B127" s="135" t="s">
        <v>479</v>
      </c>
      <c r="C127" s="67" t="s">
        <v>480</v>
      </c>
      <c r="D127" s="158" t="s">
        <v>481</v>
      </c>
      <c r="E127" s="50">
        <v>2130</v>
      </c>
      <c r="F127" s="52">
        <v>2130</v>
      </c>
      <c r="G127" s="50">
        <v>159.75</v>
      </c>
      <c r="H127" s="50">
        <v>303.52499999999998</v>
      </c>
      <c r="I127" s="51">
        <v>151</v>
      </c>
      <c r="J127" s="52"/>
      <c r="K127" s="52"/>
      <c r="L127" s="52"/>
      <c r="M127" s="54">
        <v>1819.25</v>
      </c>
      <c r="N127" s="50">
        <v>2433.5250000000001</v>
      </c>
      <c r="O127" s="66" t="s">
        <v>54</v>
      </c>
      <c r="P127" s="135" t="s">
        <v>479</v>
      </c>
      <c r="Q127" s="67" t="s">
        <v>480</v>
      </c>
      <c r="S127" s="122"/>
      <c r="T127" s="155"/>
    </row>
    <row r="128" spans="1:20" x14ac:dyDescent="0.2">
      <c r="A128" s="45">
        <v>126</v>
      </c>
      <c r="B128" s="135" t="s">
        <v>482</v>
      </c>
      <c r="C128" s="67" t="s">
        <v>483</v>
      </c>
      <c r="D128" s="158" t="s">
        <v>484</v>
      </c>
      <c r="E128" s="50">
        <v>1065</v>
      </c>
      <c r="F128" s="52">
        <v>1029.5</v>
      </c>
      <c r="G128" s="50">
        <v>79.875</v>
      </c>
      <c r="H128" s="50">
        <v>151.76249999999999</v>
      </c>
      <c r="I128" s="51">
        <v>13.975000000000001</v>
      </c>
      <c r="J128" s="52"/>
      <c r="K128" s="52"/>
      <c r="L128" s="52"/>
      <c r="M128" s="54">
        <v>935.65</v>
      </c>
      <c r="N128" s="50">
        <v>1181.2625</v>
      </c>
      <c r="O128" s="66" t="s">
        <v>353</v>
      </c>
      <c r="P128" s="135" t="s">
        <v>482</v>
      </c>
      <c r="Q128" s="67" t="s">
        <v>483</v>
      </c>
      <c r="S128" s="122"/>
      <c r="T128" s="155"/>
    </row>
    <row r="129" spans="1:20" x14ac:dyDescent="0.2">
      <c r="A129" s="45">
        <v>127</v>
      </c>
      <c r="B129" s="135" t="s">
        <v>485</v>
      </c>
      <c r="C129" s="67" t="s">
        <v>486</v>
      </c>
      <c r="D129" s="158" t="s">
        <v>487</v>
      </c>
      <c r="E129" s="50">
        <v>1100</v>
      </c>
      <c r="F129" s="52">
        <v>880</v>
      </c>
      <c r="G129" s="50">
        <v>82.5</v>
      </c>
      <c r="H129" s="50">
        <v>156.75</v>
      </c>
      <c r="I129" s="51">
        <v>6.5</v>
      </c>
      <c r="J129" s="52"/>
      <c r="K129" s="52"/>
      <c r="L129" s="52"/>
      <c r="M129" s="54">
        <v>791</v>
      </c>
      <c r="N129" s="50">
        <v>1036.75</v>
      </c>
      <c r="O129" s="66" t="s">
        <v>54</v>
      </c>
      <c r="P129" s="135" t="s">
        <v>485</v>
      </c>
      <c r="Q129" s="67" t="s">
        <v>486</v>
      </c>
      <c r="S129" s="122"/>
      <c r="T129" s="155"/>
    </row>
    <row r="130" spans="1:20" x14ac:dyDescent="0.2">
      <c r="A130" s="45">
        <v>128</v>
      </c>
      <c r="B130" s="135" t="s">
        <v>488</v>
      </c>
      <c r="C130" s="67" t="s">
        <v>489</v>
      </c>
      <c r="D130" s="158" t="s">
        <v>490</v>
      </c>
      <c r="E130" s="50">
        <v>1990</v>
      </c>
      <c r="F130" s="52">
        <v>1459.3333333333333</v>
      </c>
      <c r="G130" s="50">
        <v>149.25</v>
      </c>
      <c r="H130" s="50">
        <v>283.57499999999999</v>
      </c>
      <c r="I130" s="51">
        <v>0</v>
      </c>
      <c r="J130" s="52"/>
      <c r="K130" s="52"/>
      <c r="L130" s="52"/>
      <c r="M130" s="54">
        <v>1310.0833333333333</v>
      </c>
      <c r="N130" s="50">
        <v>1742.9083333333333</v>
      </c>
      <c r="O130" s="66" t="s">
        <v>69</v>
      </c>
      <c r="P130" s="135" t="s">
        <v>488</v>
      </c>
      <c r="Q130" s="67" t="s">
        <v>489</v>
      </c>
      <c r="S130" s="122"/>
      <c r="T130" s="155"/>
    </row>
    <row r="131" spans="1:20" x14ac:dyDescent="0.2">
      <c r="A131" s="45">
        <v>129</v>
      </c>
      <c r="B131" s="135" t="s">
        <v>491</v>
      </c>
      <c r="C131" s="67" t="s">
        <v>492</v>
      </c>
      <c r="D131" s="158" t="s">
        <v>327</v>
      </c>
      <c r="E131" s="50">
        <v>1705</v>
      </c>
      <c r="F131" s="52">
        <v>568.33333333333337</v>
      </c>
      <c r="G131" s="50">
        <v>0</v>
      </c>
      <c r="H131" s="50">
        <v>0</v>
      </c>
      <c r="I131" s="51">
        <v>0</v>
      </c>
      <c r="J131" s="52"/>
      <c r="K131" s="52"/>
      <c r="L131" s="52"/>
      <c r="M131" s="54">
        <v>568.33333333333337</v>
      </c>
      <c r="N131" s="50">
        <v>568.33333333333337</v>
      </c>
      <c r="O131" s="66" t="s">
        <v>353</v>
      </c>
      <c r="P131" s="135"/>
      <c r="Q131" s="67"/>
      <c r="S131" s="122"/>
      <c r="T131" s="155"/>
    </row>
    <row r="132" spans="1:20" x14ac:dyDescent="0.2">
      <c r="A132" s="45">
        <v>130</v>
      </c>
      <c r="B132" s="135" t="s">
        <v>493</v>
      </c>
      <c r="C132" s="67" t="s">
        <v>494</v>
      </c>
      <c r="D132" s="158" t="s">
        <v>250</v>
      </c>
      <c r="E132" s="50">
        <v>1135</v>
      </c>
      <c r="F132" s="52">
        <v>378.33333333333337</v>
      </c>
      <c r="G132" s="50">
        <v>0</v>
      </c>
      <c r="H132" s="50">
        <v>0</v>
      </c>
      <c r="I132" s="51">
        <v>0</v>
      </c>
      <c r="J132" s="52"/>
      <c r="K132" s="52"/>
      <c r="L132" s="52"/>
      <c r="M132" s="54">
        <v>378.33333333333337</v>
      </c>
      <c r="N132" s="50">
        <v>378.33333333333337</v>
      </c>
      <c r="O132" s="66" t="s">
        <v>54</v>
      </c>
      <c r="P132" s="135"/>
      <c r="Q132" s="67"/>
      <c r="S132" s="122"/>
      <c r="T132" s="155"/>
    </row>
    <row r="133" spans="1:20" x14ac:dyDescent="0.2">
      <c r="A133" s="45">
        <v>131</v>
      </c>
      <c r="B133" s="135" t="s">
        <v>495</v>
      </c>
      <c r="C133" s="67" t="s">
        <v>496</v>
      </c>
      <c r="D133" s="158" t="s">
        <v>497</v>
      </c>
      <c r="E133" s="50">
        <v>1490</v>
      </c>
      <c r="F133" s="52">
        <v>496.66666666666663</v>
      </c>
      <c r="G133" s="50">
        <v>0</v>
      </c>
      <c r="H133" s="50">
        <v>0</v>
      </c>
      <c r="I133" s="51">
        <v>0</v>
      </c>
      <c r="J133" s="52"/>
      <c r="K133" s="52"/>
      <c r="L133" s="52"/>
      <c r="M133" s="54">
        <v>496.66666666666663</v>
      </c>
      <c r="N133" s="50">
        <v>496.66666666666663</v>
      </c>
      <c r="O133" s="66" t="s">
        <v>54</v>
      </c>
      <c r="P133" s="135"/>
      <c r="Q133" s="67"/>
      <c r="S133" s="122"/>
      <c r="T133" s="155"/>
    </row>
    <row r="134" spans="1:20" x14ac:dyDescent="0.2">
      <c r="A134" s="45">
        <v>132</v>
      </c>
      <c r="B134" s="135" t="s">
        <v>498</v>
      </c>
      <c r="C134" s="67" t="s">
        <v>499</v>
      </c>
      <c r="D134" s="158" t="s">
        <v>500</v>
      </c>
      <c r="E134" s="50">
        <v>320</v>
      </c>
      <c r="F134" s="52">
        <v>106.66666666666666</v>
      </c>
      <c r="G134" s="160">
        <v>0</v>
      </c>
      <c r="H134" s="160">
        <v>0</v>
      </c>
      <c r="I134" s="51">
        <v>0</v>
      </c>
      <c r="J134" s="52"/>
      <c r="K134" s="52"/>
      <c r="L134" s="52"/>
      <c r="M134" s="54">
        <v>106.66666666666666</v>
      </c>
      <c r="N134" s="50">
        <v>106.66666666666666</v>
      </c>
      <c r="O134" s="66" t="s">
        <v>54</v>
      </c>
      <c r="P134" s="135"/>
      <c r="Q134" s="67"/>
      <c r="S134" s="122"/>
      <c r="T134" s="155"/>
    </row>
    <row r="135" spans="1:20" x14ac:dyDescent="0.2">
      <c r="A135" s="45">
        <v>133</v>
      </c>
      <c r="B135" s="135" t="s">
        <v>501</v>
      </c>
      <c r="C135" s="67" t="s">
        <v>502</v>
      </c>
      <c r="D135" s="158" t="s">
        <v>500</v>
      </c>
      <c r="E135" s="50">
        <v>320</v>
      </c>
      <c r="F135" s="52">
        <v>106.66666666666666</v>
      </c>
      <c r="G135" s="160">
        <v>0</v>
      </c>
      <c r="H135" s="160">
        <v>0</v>
      </c>
      <c r="I135" s="51">
        <v>0</v>
      </c>
      <c r="J135" s="52"/>
      <c r="K135" s="52"/>
      <c r="L135" s="52"/>
      <c r="M135" s="54">
        <v>106.66666666666666</v>
      </c>
      <c r="N135" s="50">
        <v>106.66666666666666</v>
      </c>
      <c r="O135" s="66" t="s">
        <v>54</v>
      </c>
      <c r="P135" s="135"/>
      <c r="Q135" s="67"/>
      <c r="S135" s="122"/>
      <c r="T135" s="155"/>
    </row>
    <row r="136" spans="1:20" ht="15.75" x14ac:dyDescent="0.25">
      <c r="B136" s="159"/>
      <c r="D136">
        <v>18</v>
      </c>
      <c r="E136" s="101">
        <v>180707</v>
      </c>
      <c r="F136" s="101">
        <v>177843.62903225812</v>
      </c>
      <c r="G136" s="101">
        <v>12894.525</v>
      </c>
      <c r="H136" s="101">
        <v>24499.597499999989</v>
      </c>
      <c r="I136" s="101">
        <v>7289.294354838712</v>
      </c>
      <c r="J136" s="101">
        <v>0</v>
      </c>
      <c r="K136" s="101">
        <v>26.64</v>
      </c>
      <c r="L136" s="101">
        <v>0</v>
      </c>
      <c r="M136" s="139">
        <v>157686.44967741935</v>
      </c>
      <c r="N136" s="101">
        <v>202343.22653225804</v>
      </c>
    </row>
    <row r="137" spans="1:20" x14ac:dyDescent="0.2">
      <c r="B137" s="91"/>
      <c r="L137" s="102"/>
    </row>
    <row r="138" spans="1:20" ht="15" x14ac:dyDescent="0.25">
      <c r="B138" s="91"/>
      <c r="H138" s="3"/>
      <c r="I138" s="3"/>
      <c r="M138" s="103"/>
      <c r="N138" s="104"/>
    </row>
    <row r="139" spans="1:20" ht="15.75" x14ac:dyDescent="0.25">
      <c r="B139" s="91"/>
      <c r="C139" s="105" t="s">
        <v>393</v>
      </c>
      <c r="D139" s="106">
        <v>171293.62903225812</v>
      </c>
      <c r="E139" s="107" t="s">
        <v>394</v>
      </c>
      <c r="F139" s="108">
        <v>521101</v>
      </c>
      <c r="G139" t="s">
        <v>59</v>
      </c>
      <c r="H139" s="109">
        <v>0.7</v>
      </c>
      <c r="I139" s="3">
        <v>651101</v>
      </c>
      <c r="J139" t="s">
        <v>395</v>
      </c>
      <c r="M139" s="103"/>
    </row>
    <row r="140" spans="1:20" ht="15" x14ac:dyDescent="0.25">
      <c r="B140" s="91"/>
      <c r="D140" s="106">
        <v>23566.222499999989</v>
      </c>
      <c r="E140" s="107" t="s">
        <v>396</v>
      </c>
      <c r="F140" s="108">
        <v>521107</v>
      </c>
      <c r="G140" t="s">
        <v>59</v>
      </c>
      <c r="H140" s="110" t="s">
        <v>397</v>
      </c>
      <c r="I140" s="110" t="s">
        <v>398</v>
      </c>
      <c r="O140" s="3">
        <v>51111101</v>
      </c>
      <c r="S140" s="111">
        <v>51111107</v>
      </c>
    </row>
    <row r="141" spans="1:20" x14ac:dyDescent="0.2">
      <c r="B141" s="91"/>
      <c r="D141" s="107">
        <v>6550</v>
      </c>
      <c r="E141" s="107" t="s">
        <v>399</v>
      </c>
      <c r="F141" s="108">
        <v>621101</v>
      </c>
      <c r="G141" t="s">
        <v>400</v>
      </c>
      <c r="H141" s="112">
        <v>651102</v>
      </c>
      <c r="I141" s="113" t="s">
        <v>401</v>
      </c>
      <c r="J141" s="33"/>
      <c r="K141" s="33"/>
      <c r="L141">
        <v>51111101</v>
      </c>
      <c r="M141" s="62">
        <v>111111</v>
      </c>
      <c r="N141" t="s">
        <v>402</v>
      </c>
      <c r="O141" s="114">
        <v>2300</v>
      </c>
      <c r="P141" s="102"/>
      <c r="Q141" s="102"/>
      <c r="R141" s="102"/>
      <c r="S141" s="115">
        <v>327.75</v>
      </c>
    </row>
    <row r="142" spans="1:20" x14ac:dyDescent="0.2">
      <c r="D142" s="116">
        <v>933.375</v>
      </c>
      <c r="E142" s="107" t="s">
        <v>403</v>
      </c>
      <c r="F142" s="108">
        <v>621107</v>
      </c>
      <c r="G142" t="s">
        <v>400</v>
      </c>
      <c r="H142" s="117"/>
      <c r="I142" s="118"/>
      <c r="J142" s="118"/>
      <c r="K142" s="118"/>
      <c r="L142">
        <v>51111101</v>
      </c>
      <c r="M142" s="62">
        <v>122111</v>
      </c>
      <c r="N142" t="s">
        <v>402</v>
      </c>
      <c r="O142" s="114">
        <v>2500</v>
      </c>
      <c r="P142" s="102"/>
      <c r="Q142" s="102"/>
      <c r="R142" s="102"/>
      <c r="S142" s="115">
        <v>356.24999999999994</v>
      </c>
    </row>
    <row r="143" spans="1:20" x14ac:dyDescent="0.2">
      <c r="D143" s="116"/>
      <c r="E143" s="107" t="s">
        <v>404</v>
      </c>
      <c r="F143" s="108"/>
      <c r="H143" s="110"/>
      <c r="I143" s="118"/>
      <c r="J143" s="118"/>
      <c r="K143" s="118"/>
      <c r="L143">
        <v>51111101</v>
      </c>
      <c r="M143" s="62">
        <v>131111</v>
      </c>
      <c r="N143" t="s">
        <v>402</v>
      </c>
      <c r="O143" s="114">
        <v>8216.67</v>
      </c>
      <c r="P143" s="102"/>
      <c r="Q143" s="102"/>
      <c r="R143" s="102"/>
      <c r="S143" s="115">
        <v>897.75</v>
      </c>
    </row>
    <row r="144" spans="1:20" ht="42.75" x14ac:dyDescent="0.2">
      <c r="D144" s="119"/>
      <c r="E144" s="120" t="s">
        <v>405</v>
      </c>
      <c r="F144" s="108"/>
      <c r="G144" t="s">
        <v>59</v>
      </c>
      <c r="H144" s="118"/>
      <c r="I144" s="118"/>
      <c r="J144" s="118"/>
      <c r="L144">
        <v>51111101</v>
      </c>
      <c r="M144" s="62">
        <v>134311</v>
      </c>
      <c r="N144" t="s">
        <v>402</v>
      </c>
      <c r="O144" s="114">
        <v>450</v>
      </c>
      <c r="P144" s="102"/>
      <c r="Q144" s="102"/>
      <c r="R144" s="102"/>
      <c r="S144" s="115">
        <v>64.13</v>
      </c>
    </row>
    <row r="145" spans="4:21" x14ac:dyDescent="0.2">
      <c r="E145" s="121" t="s">
        <v>406</v>
      </c>
      <c r="G145" t="s">
        <v>59</v>
      </c>
      <c r="H145" s="118"/>
      <c r="I145" s="118"/>
      <c r="J145" s="118"/>
      <c r="L145">
        <v>51111101</v>
      </c>
      <c r="M145" s="62">
        <v>311311</v>
      </c>
      <c r="N145" t="s">
        <v>402</v>
      </c>
      <c r="O145" s="114">
        <v>815</v>
      </c>
      <c r="P145" s="102"/>
      <c r="Q145" s="102"/>
      <c r="R145" s="102"/>
      <c r="S145" s="115">
        <v>116.14</v>
      </c>
    </row>
    <row r="146" spans="4:21" x14ac:dyDescent="0.2">
      <c r="E146" s="121"/>
      <c r="G146" t="s">
        <v>59</v>
      </c>
      <c r="L146">
        <v>51111101</v>
      </c>
      <c r="M146" s="62">
        <v>323111</v>
      </c>
      <c r="N146" t="s">
        <v>402</v>
      </c>
      <c r="O146" s="114">
        <v>61006.33</v>
      </c>
      <c r="P146" s="102"/>
      <c r="Q146" s="102"/>
      <c r="R146" s="102"/>
      <c r="S146" s="115">
        <v>8753.6299999999992</v>
      </c>
    </row>
    <row r="147" spans="4:21" x14ac:dyDescent="0.2">
      <c r="D147" s="121"/>
      <c r="E147" s="121" t="s">
        <v>407</v>
      </c>
      <c r="F147">
        <v>522111</v>
      </c>
      <c r="G147" t="s">
        <v>59</v>
      </c>
      <c r="L147">
        <v>51111101</v>
      </c>
      <c r="M147" s="77">
        <v>122311</v>
      </c>
      <c r="N147" t="s">
        <v>402</v>
      </c>
      <c r="O147" s="114">
        <v>1350</v>
      </c>
      <c r="P147" s="102"/>
      <c r="Q147" s="102"/>
      <c r="R147" s="102"/>
      <c r="S147" s="115">
        <v>192.38</v>
      </c>
    </row>
    <row r="148" spans="4:21" x14ac:dyDescent="0.2">
      <c r="D148" s="104">
        <v>202343.22653225809</v>
      </c>
      <c r="L148">
        <v>51111101</v>
      </c>
      <c r="M148" s="62">
        <v>325311</v>
      </c>
      <c r="N148" t="s">
        <v>402</v>
      </c>
      <c r="O148" s="114">
        <v>18776</v>
      </c>
      <c r="P148" s="102"/>
      <c r="Q148" s="102"/>
      <c r="R148" s="102"/>
      <c r="S148" s="115">
        <v>2675.56</v>
      </c>
    </row>
    <row r="149" spans="4:21" x14ac:dyDescent="0.2">
      <c r="L149">
        <v>51111101</v>
      </c>
      <c r="M149" s="77">
        <v>326111</v>
      </c>
      <c r="N149" t="s">
        <v>402</v>
      </c>
      <c r="O149" s="114">
        <v>1490</v>
      </c>
      <c r="P149" s="102"/>
      <c r="Q149" s="102"/>
      <c r="R149" s="102"/>
      <c r="S149" s="115">
        <v>212.33</v>
      </c>
    </row>
    <row r="150" spans="4:21" x14ac:dyDescent="0.2">
      <c r="E150" s="106">
        <v>118164.74099999999</v>
      </c>
      <c r="F150" s="108" t="s">
        <v>408</v>
      </c>
      <c r="G150" s="108" t="s">
        <v>409</v>
      </c>
      <c r="I150" s="121">
        <v>-39495.068677419389</v>
      </c>
      <c r="L150">
        <v>51111101</v>
      </c>
      <c r="M150" s="122">
        <v>327111</v>
      </c>
      <c r="N150" t="s">
        <v>402</v>
      </c>
      <c r="O150" s="114">
        <v>1631</v>
      </c>
      <c r="P150" s="102"/>
      <c r="Q150" s="102"/>
      <c r="R150" s="102"/>
      <c r="S150" s="115">
        <v>161.88</v>
      </c>
    </row>
    <row r="151" spans="4:21" x14ac:dyDescent="0.2">
      <c r="E151" s="106">
        <v>37394.12249999999</v>
      </c>
      <c r="F151" s="108" t="s">
        <v>410</v>
      </c>
      <c r="G151" s="108">
        <v>214311</v>
      </c>
      <c r="L151">
        <v>51111101</v>
      </c>
      <c r="M151" s="62">
        <v>329111</v>
      </c>
      <c r="N151" t="s">
        <v>402</v>
      </c>
      <c r="O151" s="114">
        <v>38636.81</v>
      </c>
      <c r="P151" s="102"/>
      <c r="Q151" s="102"/>
      <c r="R151" s="102"/>
      <c r="S151" s="115">
        <v>5427.96</v>
      </c>
    </row>
    <row r="152" spans="4:21" x14ac:dyDescent="0.2">
      <c r="E152" s="106">
        <v>7289.294354838712</v>
      </c>
      <c r="F152" s="108" t="s">
        <v>411</v>
      </c>
      <c r="G152" s="108">
        <v>214801</v>
      </c>
      <c r="L152">
        <v>51111101</v>
      </c>
      <c r="M152" s="62">
        <v>349311</v>
      </c>
      <c r="N152" t="s">
        <v>402</v>
      </c>
      <c r="O152" s="114">
        <v>3275</v>
      </c>
      <c r="P152" s="102"/>
      <c r="Q152" s="102"/>
      <c r="R152" s="102"/>
      <c r="S152" s="115">
        <v>466.69</v>
      </c>
    </row>
    <row r="153" spans="4:21" ht="15" x14ac:dyDescent="0.25">
      <c r="E153" s="123"/>
      <c r="L153">
        <v>51111101</v>
      </c>
      <c r="M153" s="122">
        <v>318223</v>
      </c>
      <c r="N153" t="s">
        <v>402</v>
      </c>
      <c r="O153" s="114">
        <v>1560</v>
      </c>
      <c r="P153" s="124"/>
      <c r="Q153" s="124"/>
      <c r="R153" s="124">
        <v>0</v>
      </c>
      <c r="S153" s="115">
        <v>222.3</v>
      </c>
    </row>
    <row r="154" spans="4:21" ht="15" x14ac:dyDescent="0.25">
      <c r="E154" s="123"/>
      <c r="L154">
        <v>51111101</v>
      </c>
      <c r="M154" s="122">
        <v>325411</v>
      </c>
      <c r="N154" t="s">
        <v>402</v>
      </c>
      <c r="O154" s="114">
        <v>3619</v>
      </c>
      <c r="P154" s="124"/>
      <c r="Q154" s="124"/>
      <c r="R154" s="124"/>
      <c r="S154" s="115">
        <v>515.71</v>
      </c>
    </row>
    <row r="155" spans="4:21" ht="15" x14ac:dyDescent="0.25">
      <c r="E155" s="123"/>
      <c r="K155" s="125"/>
      <c r="L155">
        <v>51111101</v>
      </c>
      <c r="M155" s="62">
        <v>318242</v>
      </c>
      <c r="N155" t="s">
        <v>402</v>
      </c>
      <c r="O155" s="114">
        <v>1530</v>
      </c>
      <c r="P155" s="124"/>
      <c r="Q155" s="124"/>
      <c r="R155" s="124"/>
      <c r="S155" s="115">
        <v>363.38</v>
      </c>
    </row>
    <row r="156" spans="4:21" ht="15" x14ac:dyDescent="0.25">
      <c r="E156" s="123"/>
      <c r="L156">
        <v>51111101</v>
      </c>
      <c r="M156" s="62">
        <v>318531</v>
      </c>
      <c r="N156" t="s">
        <v>402</v>
      </c>
      <c r="O156" s="114">
        <v>266.67</v>
      </c>
      <c r="P156" s="124"/>
      <c r="Q156" s="124"/>
      <c r="R156" s="124"/>
      <c r="S156" s="115">
        <v>45.6</v>
      </c>
    </row>
    <row r="157" spans="4:21" ht="15" x14ac:dyDescent="0.25">
      <c r="E157" s="123"/>
      <c r="L157">
        <v>51111101</v>
      </c>
      <c r="M157" s="122">
        <v>322111</v>
      </c>
      <c r="N157" t="s">
        <v>402</v>
      </c>
      <c r="O157" s="114">
        <v>1008</v>
      </c>
      <c r="P157" s="124"/>
      <c r="Q157" s="124"/>
      <c r="R157" s="124"/>
      <c r="S157" s="115">
        <v>143.63999999999999</v>
      </c>
    </row>
    <row r="158" spans="4:21" ht="15" x14ac:dyDescent="0.25">
      <c r="E158" s="123"/>
      <c r="M158" s="122"/>
      <c r="O158" s="102"/>
      <c r="P158" s="124"/>
      <c r="Q158" s="124"/>
      <c r="R158" s="124"/>
      <c r="S158" s="115"/>
    </row>
    <row r="159" spans="4:21" ht="15" x14ac:dyDescent="0.25">
      <c r="E159" s="123"/>
      <c r="M159" s="122"/>
      <c r="O159" s="102"/>
      <c r="P159" s="124"/>
      <c r="Q159" s="124"/>
      <c r="R159" s="124"/>
      <c r="S159" s="115"/>
    </row>
    <row r="160" spans="4:21" ht="15" x14ac:dyDescent="0.25">
      <c r="E160" s="126">
        <v>162848.1578548387</v>
      </c>
      <c r="O160" s="124">
        <v>148430.48000000001</v>
      </c>
      <c r="P160" s="124">
        <v>0</v>
      </c>
      <c r="Q160" s="124">
        <v>0</v>
      </c>
      <c r="R160" s="124">
        <v>0</v>
      </c>
      <c r="S160" s="124">
        <v>20943.079999999994</v>
      </c>
      <c r="T160" s="124"/>
      <c r="U160" s="126"/>
    </row>
    <row r="162" spans="11:19" x14ac:dyDescent="0.2">
      <c r="K162" s="103">
        <v>157686.44967741935</v>
      </c>
      <c r="L162" s="127">
        <v>21141201</v>
      </c>
      <c r="N162" s="128" t="s">
        <v>412</v>
      </c>
    </row>
    <row r="163" spans="11:19" x14ac:dyDescent="0.2">
      <c r="K163" s="104">
        <v>37394.12249999999</v>
      </c>
      <c r="L163" s="127">
        <v>21141204</v>
      </c>
      <c r="N163" s="128" t="s">
        <v>413</v>
      </c>
    </row>
    <row r="164" spans="11:19" ht="15" x14ac:dyDescent="0.25">
      <c r="K164" s="104">
        <v>7289.294354838712</v>
      </c>
      <c r="L164" s="111">
        <v>21141304</v>
      </c>
      <c r="N164" s="128" t="s">
        <v>414</v>
      </c>
    </row>
    <row r="165" spans="11:19" ht="15" x14ac:dyDescent="0.25">
      <c r="S165" s="129">
        <v>0</v>
      </c>
    </row>
    <row r="166" spans="11:19" x14ac:dyDescent="0.2">
      <c r="S166" s="115">
        <v>169373.56</v>
      </c>
    </row>
    <row r="167" spans="11:19" x14ac:dyDescent="0.2">
      <c r="K167" s="103">
        <v>202369.86653225805</v>
      </c>
    </row>
    <row r="168" spans="11:19" x14ac:dyDescent="0.2">
      <c r="M168" s="104">
        <v>-32996.306532258051</v>
      </c>
    </row>
  </sheetData>
  <mergeCells count="4">
    <mergeCell ref="B3:D3"/>
    <mergeCell ref="E3:M3"/>
    <mergeCell ref="B1:D2"/>
    <mergeCell ref="E1:E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B9809-30EC-4D52-A22E-CAF235CE8132}">
  <sheetPr codeName="Sheet5">
    <pageSetUpPr fitToPage="1"/>
  </sheetPr>
  <dimension ref="A1:V157"/>
  <sheetViews>
    <sheetView zoomScaleNormal="100" workbookViewId="0">
      <selection activeCell="C124" sqref="B5:C124"/>
    </sheetView>
  </sheetViews>
  <sheetFormatPr defaultRowHeight="14.25" x14ac:dyDescent="0.2"/>
  <cols>
    <col min="1" max="1" width="5.375" style="33" customWidth="1"/>
    <col min="2" max="2" width="10.875" style="33" customWidth="1"/>
    <col min="3" max="3" width="42.625" bestFit="1" customWidth="1"/>
    <col min="4" max="4" width="37.125" bestFit="1" customWidth="1"/>
    <col min="5" max="5" width="16.875" bestFit="1" customWidth="1"/>
    <col min="6" max="6" width="15.875" bestFit="1" customWidth="1"/>
    <col min="7" max="8" width="14.5" customWidth="1"/>
    <col min="9" max="9" width="14.125" customWidth="1"/>
    <col min="10" max="10" width="12.125" customWidth="1"/>
    <col min="11" max="11" width="15" customWidth="1"/>
    <col min="12" max="12" width="14.125" customWidth="1"/>
    <col min="13" max="13" width="17.625" customWidth="1"/>
    <col min="14" max="14" width="21" customWidth="1"/>
    <col min="15" max="15" width="10.25" customWidth="1"/>
    <col min="16" max="16" width="8.75" customWidth="1"/>
    <col min="17" max="17" width="41.625" customWidth="1"/>
    <col min="18" max="18" width="5.25" bestFit="1" customWidth="1"/>
    <col min="19" max="19" width="13.25" style="33" customWidth="1"/>
    <col min="20" max="20" width="59.375" bestFit="1" customWidth="1"/>
    <col min="21" max="21" width="12" bestFit="1" customWidth="1"/>
    <col min="23" max="23" width="8.875" customWidth="1"/>
  </cols>
  <sheetData>
    <row r="1" spans="1:20" x14ac:dyDescent="0.2">
      <c r="B1" s="198" t="s">
        <v>415</v>
      </c>
      <c r="C1" s="198"/>
      <c r="D1" s="198"/>
      <c r="E1" s="200">
        <v>45870</v>
      </c>
    </row>
    <row r="2" spans="1:20" ht="15" thickBot="1" x14ac:dyDescent="0.25">
      <c r="B2" s="199"/>
      <c r="C2" s="199"/>
      <c r="D2" s="199"/>
      <c r="E2" s="201"/>
    </row>
    <row r="3" spans="1:20" ht="18.75" thickBot="1" x14ac:dyDescent="0.25">
      <c r="B3" s="202" t="s">
        <v>32</v>
      </c>
      <c r="C3" s="203"/>
      <c r="D3" s="204"/>
      <c r="E3" s="203" t="s">
        <v>33</v>
      </c>
      <c r="F3" s="203"/>
      <c r="G3" s="203"/>
      <c r="H3" s="203"/>
      <c r="I3" s="203"/>
      <c r="J3" s="203"/>
      <c r="K3" s="203"/>
      <c r="L3" s="203"/>
      <c r="M3" s="204"/>
      <c r="N3" s="34" t="s">
        <v>34</v>
      </c>
      <c r="T3" s="33"/>
    </row>
    <row r="4" spans="1:20" ht="45" x14ac:dyDescent="0.2">
      <c r="A4" s="35" t="s">
        <v>35</v>
      </c>
      <c r="B4" s="35" t="s">
        <v>36</v>
      </c>
      <c r="C4" s="36" t="s">
        <v>37</v>
      </c>
      <c r="D4" s="37" t="s">
        <v>38</v>
      </c>
      <c r="E4" s="38" t="s">
        <v>13</v>
      </c>
      <c r="F4" s="39" t="s">
        <v>39</v>
      </c>
      <c r="G4" s="40" t="s">
        <v>40</v>
      </c>
      <c r="H4" s="40" t="s">
        <v>41</v>
      </c>
      <c r="I4" s="39" t="s">
        <v>23</v>
      </c>
      <c r="J4" s="39" t="s">
        <v>24</v>
      </c>
      <c r="K4" s="39" t="s">
        <v>42</v>
      </c>
      <c r="L4" s="39" t="s">
        <v>25</v>
      </c>
      <c r="M4" s="37" t="s">
        <v>43</v>
      </c>
      <c r="N4" s="41" t="s">
        <v>44</v>
      </c>
      <c r="O4" s="42" t="s">
        <v>45</v>
      </c>
      <c r="P4" s="43" t="s">
        <v>46</v>
      </c>
      <c r="Q4" s="43" t="s">
        <v>47</v>
      </c>
      <c r="R4" s="43" t="s">
        <v>48</v>
      </c>
      <c r="S4" s="43" t="s">
        <v>49</v>
      </c>
      <c r="T4" s="44" t="s">
        <v>50</v>
      </c>
    </row>
    <row r="5" spans="1:20" x14ac:dyDescent="0.2">
      <c r="A5" s="45">
        <v>1</v>
      </c>
      <c r="B5" s="45" t="s">
        <v>51</v>
      </c>
      <c r="C5" s="46" t="s">
        <v>52</v>
      </c>
      <c r="D5" s="47" t="s">
        <v>416</v>
      </c>
      <c r="E5" s="48">
        <v>745</v>
      </c>
      <c r="F5" s="49">
        <v>745</v>
      </c>
      <c r="G5" s="50">
        <f t="shared" ref="G5:G68" si="0">E5*0.075</f>
        <v>55.875</v>
      </c>
      <c r="H5" s="50">
        <f t="shared" ref="H5:H68" si="1">E5*0.1425</f>
        <v>106.16249999999999</v>
      </c>
      <c r="I5" s="51">
        <f t="shared" ref="I5:I68" si="2">(IF((O5="No"),(IF((($F5*12)-9000)&lt;0,0,(IF((($F5*12)-9000)&gt;20000,(5000*5%+5000*10%+5000*15%+5000*20%+((($F5*12)-9000)-20000)*25%),IF((($F5*12)-9000)&gt;15000,(5000*5%+5000*10%+5000*15%+((($F5*12)-9000)-15000)*20%),IF((($F5*12)-9000)&gt;10000,(5000*5%+5000*10%+((($F5*12)-9000)-10000)*15%),IF((($F5*12)-9000)&gt;5000,(5000*5%+((($F5*12)-9000)-5000)*10%),IF((($F5*12)-9000)&lt;5000,(($F5*12)-9000)*5%)))))))),((IF((($F5*12)-18000)&lt;0,0,(IF((($F5*12)-18000)&gt;20000,(5000*5%+5000*10%+5000*15%+5000*20%+((($F5*12)-18000)-20000)*25%),IF((($F5*12)-18000)&gt;15000,(5000*5%+5000*10%+5000*15%+((($F5*12)-18000)-15000)*20%),IF((($F5*12)-18000)&gt;10000,(5000*5%+5000*10%+((($F5*12)-18000)-10000)*15%),IF((($F5*12)-18000)&gt;5000,(5000*5%+((($F5*12)-18000)-5000)*10%),IF((($F5*12)-18000)&lt;5000,(($F5*12)-18000)*5%))))))))))/12)</f>
        <v>0</v>
      </c>
      <c r="J5" s="52"/>
      <c r="K5" s="52">
        <v>0</v>
      </c>
      <c r="L5" s="53"/>
      <c r="M5" s="54">
        <f t="shared" ref="M5:M68" si="3">(F5+K5)-SUM(G5,I5,J5,L5)</f>
        <v>689.125</v>
      </c>
      <c r="N5" s="55">
        <f t="shared" ref="N5:N68" si="4">F5+H5</f>
        <v>851.16250000000002</v>
      </c>
      <c r="O5" s="33" t="s">
        <v>54</v>
      </c>
      <c r="P5" s="56" t="s">
        <v>51</v>
      </c>
      <c r="Q5" s="56" t="s">
        <v>52</v>
      </c>
      <c r="R5" s="57" t="s">
        <v>55</v>
      </c>
      <c r="S5" s="58">
        <v>329111</v>
      </c>
      <c r="T5" s="56" t="s">
        <v>56</v>
      </c>
    </row>
    <row r="6" spans="1:20" x14ac:dyDescent="0.2">
      <c r="A6" s="45">
        <v>2</v>
      </c>
      <c r="B6" s="45" t="s">
        <v>57</v>
      </c>
      <c r="C6" s="46" t="s">
        <v>58</v>
      </c>
      <c r="D6" s="59" t="s">
        <v>53</v>
      </c>
      <c r="E6" s="48">
        <f>1583+475</f>
        <v>2058</v>
      </c>
      <c r="F6" s="49">
        <f>E6</f>
        <v>2058</v>
      </c>
      <c r="G6" s="50">
        <f>1583*0.075</f>
        <v>118.72499999999999</v>
      </c>
      <c r="H6" s="50">
        <f>1583*0.1425</f>
        <v>225.57749999999999</v>
      </c>
      <c r="I6" s="51">
        <f t="shared" si="2"/>
        <v>136.6</v>
      </c>
      <c r="J6" s="52"/>
      <c r="K6" s="52">
        <v>0</v>
      </c>
      <c r="L6" s="53"/>
      <c r="M6" s="54">
        <f>(F6+K6)-SUM(G6,I6,J6,L6)</f>
        <v>1802.675</v>
      </c>
      <c r="N6" s="55">
        <f t="shared" si="4"/>
        <v>2283.5774999999999</v>
      </c>
      <c r="O6" s="33" t="s">
        <v>54</v>
      </c>
      <c r="P6" s="60" t="s">
        <v>57</v>
      </c>
      <c r="Q6" s="60" t="s">
        <v>58</v>
      </c>
      <c r="R6" s="61" t="s">
        <v>59</v>
      </c>
      <c r="S6" s="62">
        <v>329111</v>
      </c>
      <c r="T6" s="60" t="s">
        <v>56</v>
      </c>
    </row>
    <row r="7" spans="1:20" ht="15" thickBot="1" x14ac:dyDescent="0.25">
      <c r="A7" s="45">
        <v>3</v>
      </c>
      <c r="B7" s="45" t="s">
        <v>60</v>
      </c>
      <c r="C7" s="46" t="s">
        <v>61</v>
      </c>
      <c r="D7" s="47" t="s">
        <v>62</v>
      </c>
      <c r="E7" s="48">
        <v>2755</v>
      </c>
      <c r="F7" s="49">
        <v>2755</v>
      </c>
      <c r="G7" s="50">
        <f t="shared" si="0"/>
        <v>206.625</v>
      </c>
      <c r="H7" s="50">
        <f t="shared" si="1"/>
        <v>392.58749999999998</v>
      </c>
      <c r="I7" s="51">
        <f t="shared" si="2"/>
        <v>292.91666666666669</v>
      </c>
      <c r="J7" s="52"/>
      <c r="K7" s="52">
        <v>0</v>
      </c>
      <c r="L7" s="53"/>
      <c r="M7" s="54">
        <f t="shared" si="3"/>
        <v>2255.4583333333335</v>
      </c>
      <c r="N7" s="55">
        <f t="shared" si="4"/>
        <v>3147.5875000000001</v>
      </c>
      <c r="O7" s="33" t="s">
        <v>54</v>
      </c>
      <c r="P7" s="60" t="s">
        <v>60</v>
      </c>
      <c r="Q7" s="60" t="s">
        <v>61</v>
      </c>
      <c r="R7" s="61" t="s">
        <v>59</v>
      </c>
      <c r="S7" s="62">
        <v>323111</v>
      </c>
      <c r="T7" s="60" t="s">
        <v>56</v>
      </c>
    </row>
    <row r="8" spans="1:20" x14ac:dyDescent="0.2">
      <c r="A8" s="63">
        <v>4</v>
      </c>
      <c r="B8" s="45" t="s">
        <v>63</v>
      </c>
      <c r="C8" s="46" t="s">
        <v>64</v>
      </c>
      <c r="D8" s="47" t="s">
        <v>65</v>
      </c>
      <c r="E8" s="48">
        <v>900</v>
      </c>
      <c r="F8" s="49">
        <v>900</v>
      </c>
      <c r="G8" s="50">
        <f t="shared" si="0"/>
        <v>67.5</v>
      </c>
      <c r="H8" s="50">
        <f t="shared" si="1"/>
        <v>128.25</v>
      </c>
      <c r="I8" s="51">
        <f t="shared" si="2"/>
        <v>7.5</v>
      </c>
      <c r="J8" s="52"/>
      <c r="K8" s="52">
        <v>0</v>
      </c>
      <c r="L8" s="53"/>
      <c r="M8" s="54">
        <f t="shared" si="3"/>
        <v>825</v>
      </c>
      <c r="N8" s="55">
        <f t="shared" si="4"/>
        <v>1028.25</v>
      </c>
      <c r="O8" s="33" t="s">
        <v>54</v>
      </c>
      <c r="P8" s="60" t="s">
        <v>63</v>
      </c>
      <c r="Q8" s="60" t="s">
        <v>64</v>
      </c>
      <c r="R8" s="61" t="s">
        <v>59</v>
      </c>
      <c r="S8" s="62">
        <v>323111</v>
      </c>
      <c r="T8" s="60" t="s">
        <v>56</v>
      </c>
    </row>
    <row r="9" spans="1:20" x14ac:dyDescent="0.2">
      <c r="A9" s="45">
        <v>5</v>
      </c>
      <c r="B9" s="45" t="s">
        <v>66</v>
      </c>
      <c r="C9" s="46" t="s">
        <v>67</v>
      </c>
      <c r="D9" s="47" t="s">
        <v>68</v>
      </c>
      <c r="E9" s="48">
        <v>2428</v>
      </c>
      <c r="F9" s="49">
        <v>2428</v>
      </c>
      <c r="G9" s="50">
        <f t="shared" si="0"/>
        <v>182.1</v>
      </c>
      <c r="H9" s="50">
        <f t="shared" si="1"/>
        <v>345.98999999999995</v>
      </c>
      <c r="I9" s="51">
        <f t="shared" si="2"/>
        <v>76.7</v>
      </c>
      <c r="J9" s="52"/>
      <c r="K9" s="52">
        <v>0</v>
      </c>
      <c r="L9" s="53"/>
      <c r="M9" s="54">
        <f t="shared" si="3"/>
        <v>2169.1999999999998</v>
      </c>
      <c r="N9" s="55">
        <f t="shared" si="4"/>
        <v>2773.99</v>
      </c>
      <c r="O9" s="33" t="s">
        <v>69</v>
      </c>
      <c r="P9" s="60" t="s">
        <v>66</v>
      </c>
      <c r="Q9" s="60" t="s">
        <v>67</v>
      </c>
      <c r="R9" s="61" t="s">
        <v>59</v>
      </c>
      <c r="S9" s="62">
        <v>329111</v>
      </c>
      <c r="T9" s="60" t="s">
        <v>56</v>
      </c>
    </row>
    <row r="10" spans="1:20" x14ac:dyDescent="0.2">
      <c r="A10" s="45">
        <v>6</v>
      </c>
      <c r="B10" s="45" t="s">
        <v>70</v>
      </c>
      <c r="C10" s="46" t="s">
        <v>71</v>
      </c>
      <c r="D10" s="47" t="s">
        <v>65</v>
      </c>
      <c r="E10" s="48">
        <v>1165</v>
      </c>
      <c r="F10" s="49">
        <v>1165</v>
      </c>
      <c r="G10" s="50">
        <f t="shared" si="0"/>
        <v>87.375</v>
      </c>
      <c r="H10" s="50">
        <f t="shared" si="1"/>
        <v>166.01249999999999</v>
      </c>
      <c r="I10" s="51">
        <f t="shared" si="2"/>
        <v>20.75</v>
      </c>
      <c r="J10" s="52"/>
      <c r="K10" s="52">
        <v>0</v>
      </c>
      <c r="L10" s="53"/>
      <c r="M10" s="54">
        <f t="shared" si="3"/>
        <v>1056.875</v>
      </c>
      <c r="N10" s="55">
        <f t="shared" si="4"/>
        <v>1331.0125</v>
      </c>
      <c r="O10" s="33" t="s">
        <v>54</v>
      </c>
      <c r="P10" s="60" t="s">
        <v>70</v>
      </c>
      <c r="Q10" s="60" t="s">
        <v>71</v>
      </c>
      <c r="R10" s="61" t="s">
        <v>59</v>
      </c>
      <c r="S10" s="62">
        <v>323111</v>
      </c>
      <c r="T10" s="60" t="s">
        <v>56</v>
      </c>
    </row>
    <row r="11" spans="1:20" x14ac:dyDescent="0.2">
      <c r="A11" s="45">
        <v>7</v>
      </c>
      <c r="B11" s="45" t="s">
        <v>72</v>
      </c>
      <c r="C11" s="46" t="s">
        <v>73</v>
      </c>
      <c r="D11" s="47" t="s">
        <v>74</v>
      </c>
      <c r="E11" s="48">
        <v>2540</v>
      </c>
      <c r="F11" s="49">
        <v>2540</v>
      </c>
      <c r="G11" s="50">
        <f t="shared" si="0"/>
        <v>190.5</v>
      </c>
      <c r="H11" s="50">
        <f t="shared" si="1"/>
        <v>361.95</v>
      </c>
      <c r="I11" s="51">
        <f t="shared" si="2"/>
        <v>93.5</v>
      </c>
      <c r="J11" s="52"/>
      <c r="K11" s="52">
        <v>0</v>
      </c>
      <c r="L11" s="53"/>
      <c r="M11" s="54">
        <f t="shared" si="3"/>
        <v>2256</v>
      </c>
      <c r="N11" s="55">
        <f t="shared" si="4"/>
        <v>2901.95</v>
      </c>
      <c r="O11" s="33" t="s">
        <v>69</v>
      </c>
      <c r="P11" s="60" t="s">
        <v>72</v>
      </c>
      <c r="Q11" s="60" t="s">
        <v>73</v>
      </c>
      <c r="R11" s="61" t="s">
        <v>59</v>
      </c>
      <c r="S11" s="62">
        <v>323111</v>
      </c>
      <c r="T11" s="60" t="s">
        <v>56</v>
      </c>
    </row>
    <row r="12" spans="1:20" x14ac:dyDescent="0.2">
      <c r="A12" s="45">
        <v>8</v>
      </c>
      <c r="B12" s="64" t="s">
        <v>75</v>
      </c>
      <c r="C12" s="46" t="s">
        <v>76</v>
      </c>
      <c r="D12" s="47" t="s">
        <v>77</v>
      </c>
      <c r="E12" s="65">
        <v>2273</v>
      </c>
      <c r="F12" s="50">
        <v>2273</v>
      </c>
      <c r="G12" s="50">
        <f t="shared" si="0"/>
        <v>170.47499999999999</v>
      </c>
      <c r="H12" s="50">
        <f t="shared" si="1"/>
        <v>323.90249999999997</v>
      </c>
      <c r="I12" s="51">
        <f t="shared" si="2"/>
        <v>56.466666666666669</v>
      </c>
      <c r="J12" s="52"/>
      <c r="K12" s="52">
        <v>0</v>
      </c>
      <c r="L12" s="53"/>
      <c r="M12" s="54">
        <f t="shared" si="3"/>
        <v>2046.0583333333334</v>
      </c>
      <c r="N12" s="55">
        <f t="shared" si="4"/>
        <v>2596.9025000000001</v>
      </c>
      <c r="O12" s="33" t="s">
        <v>69</v>
      </c>
      <c r="P12" s="60" t="s">
        <v>75</v>
      </c>
      <c r="Q12" s="60" t="s">
        <v>76</v>
      </c>
      <c r="R12" s="61" t="s">
        <v>59</v>
      </c>
      <c r="S12" s="62">
        <v>323111</v>
      </c>
      <c r="T12" s="60" t="s">
        <v>56</v>
      </c>
    </row>
    <row r="13" spans="1:20" ht="15" thickBot="1" x14ac:dyDescent="0.25">
      <c r="A13" s="45">
        <v>9</v>
      </c>
      <c r="B13" s="66" t="s">
        <v>78</v>
      </c>
      <c r="C13" s="46" t="s">
        <v>79</v>
      </c>
      <c r="D13" s="67" t="s">
        <v>74</v>
      </c>
      <c r="E13" s="68">
        <v>2350</v>
      </c>
      <c r="F13" s="52">
        <v>2350</v>
      </c>
      <c r="G13" s="50">
        <f t="shared" si="0"/>
        <v>176.25</v>
      </c>
      <c r="H13" s="50">
        <f t="shared" si="1"/>
        <v>334.87499999999994</v>
      </c>
      <c r="I13" s="51">
        <f t="shared" si="2"/>
        <v>195</v>
      </c>
      <c r="J13" s="52"/>
      <c r="K13" s="52">
        <v>0</v>
      </c>
      <c r="L13" s="53"/>
      <c r="M13" s="54">
        <f t="shared" si="3"/>
        <v>1978.75</v>
      </c>
      <c r="N13" s="55">
        <f t="shared" si="4"/>
        <v>2684.875</v>
      </c>
      <c r="O13" s="33" t="s">
        <v>54</v>
      </c>
      <c r="P13" s="60" t="s">
        <v>78</v>
      </c>
      <c r="Q13" s="60" t="s">
        <v>79</v>
      </c>
      <c r="R13" s="61" t="s">
        <v>59</v>
      </c>
      <c r="S13" s="62">
        <v>323111</v>
      </c>
      <c r="T13" s="60" t="s">
        <v>56</v>
      </c>
    </row>
    <row r="14" spans="1:20" x14ac:dyDescent="0.2">
      <c r="A14" s="63">
        <v>10</v>
      </c>
      <c r="B14" s="66" t="s">
        <v>80</v>
      </c>
      <c r="C14" s="46" t="s">
        <v>81</v>
      </c>
      <c r="D14" s="67" t="s">
        <v>82</v>
      </c>
      <c r="E14" s="68">
        <v>710</v>
      </c>
      <c r="F14" s="52">
        <v>710</v>
      </c>
      <c r="G14" s="50">
        <f t="shared" si="0"/>
        <v>53.25</v>
      </c>
      <c r="H14" s="50">
        <f t="shared" si="1"/>
        <v>101.175</v>
      </c>
      <c r="I14" s="51">
        <f t="shared" si="2"/>
        <v>0</v>
      </c>
      <c r="J14" s="52"/>
      <c r="K14" s="52">
        <v>0</v>
      </c>
      <c r="L14" s="53"/>
      <c r="M14" s="54">
        <f t="shared" si="3"/>
        <v>656.75</v>
      </c>
      <c r="N14" s="55">
        <f t="shared" si="4"/>
        <v>811.17499999999995</v>
      </c>
      <c r="O14" s="33" t="s">
        <v>54</v>
      </c>
      <c r="P14" s="60" t="s">
        <v>80</v>
      </c>
      <c r="Q14" s="60" t="s">
        <v>81</v>
      </c>
      <c r="R14" s="61" t="s">
        <v>59</v>
      </c>
      <c r="S14" s="62">
        <v>329111</v>
      </c>
      <c r="T14" s="60" t="s">
        <v>56</v>
      </c>
    </row>
    <row r="15" spans="1:20" x14ac:dyDescent="0.2">
      <c r="A15" s="45">
        <v>11</v>
      </c>
      <c r="B15" s="66" t="s">
        <v>83</v>
      </c>
      <c r="C15" s="46" t="s">
        <v>84</v>
      </c>
      <c r="D15" s="67" t="s">
        <v>85</v>
      </c>
      <c r="E15" s="68">
        <v>1535</v>
      </c>
      <c r="F15" s="52">
        <v>1535</v>
      </c>
      <c r="G15" s="50">
        <f t="shared" si="0"/>
        <v>115.125</v>
      </c>
      <c r="H15" s="50">
        <f t="shared" si="1"/>
        <v>218.73749999999998</v>
      </c>
      <c r="I15" s="51">
        <f t="shared" si="2"/>
        <v>57.666666666666664</v>
      </c>
      <c r="J15" s="52"/>
      <c r="K15" s="52">
        <v>0</v>
      </c>
      <c r="L15" s="53"/>
      <c r="M15" s="54">
        <f t="shared" si="3"/>
        <v>1362.2083333333333</v>
      </c>
      <c r="N15" s="55">
        <f t="shared" si="4"/>
        <v>1753.7375</v>
      </c>
      <c r="O15" s="33" t="s">
        <v>54</v>
      </c>
      <c r="P15" s="60" t="s">
        <v>83</v>
      </c>
      <c r="Q15" s="60" t="s">
        <v>84</v>
      </c>
      <c r="R15" s="61" t="s">
        <v>55</v>
      </c>
      <c r="S15" s="62">
        <v>323111</v>
      </c>
      <c r="T15" s="60" t="s">
        <v>56</v>
      </c>
    </row>
    <row r="16" spans="1:20" x14ac:dyDescent="0.2">
      <c r="A16" s="45">
        <v>12</v>
      </c>
      <c r="B16" s="66" t="s">
        <v>86</v>
      </c>
      <c r="C16" s="46" t="s">
        <v>87</v>
      </c>
      <c r="D16" s="67" t="s">
        <v>65</v>
      </c>
      <c r="E16" s="69">
        <v>1235</v>
      </c>
      <c r="F16" s="49">
        <v>1235</v>
      </c>
      <c r="G16" s="50">
        <f t="shared" si="0"/>
        <v>92.625</v>
      </c>
      <c r="H16" s="50">
        <f t="shared" si="1"/>
        <v>175.98749999999998</v>
      </c>
      <c r="I16" s="51">
        <f t="shared" si="2"/>
        <v>27.666666666666668</v>
      </c>
      <c r="J16" s="52"/>
      <c r="K16" s="52">
        <v>0</v>
      </c>
      <c r="L16" s="53"/>
      <c r="M16" s="54">
        <f t="shared" si="3"/>
        <v>1114.7083333333333</v>
      </c>
      <c r="N16" s="55">
        <f t="shared" si="4"/>
        <v>1410.9875</v>
      </c>
      <c r="O16" s="33" t="s">
        <v>54</v>
      </c>
      <c r="P16" s="60" t="s">
        <v>86</v>
      </c>
      <c r="Q16" s="60" t="s">
        <v>87</v>
      </c>
      <c r="R16" s="61" t="s">
        <v>55</v>
      </c>
      <c r="S16" s="62">
        <v>323111</v>
      </c>
      <c r="T16" s="60" t="s">
        <v>56</v>
      </c>
    </row>
    <row r="17" spans="1:20" x14ac:dyDescent="0.2">
      <c r="A17" s="45">
        <v>13</v>
      </c>
      <c r="B17" s="66" t="s">
        <v>88</v>
      </c>
      <c r="C17" s="46" t="s">
        <v>89</v>
      </c>
      <c r="D17" s="67" t="s">
        <v>82</v>
      </c>
      <c r="E17" s="69">
        <v>1000</v>
      </c>
      <c r="F17" s="49">
        <v>1000</v>
      </c>
      <c r="G17" s="50">
        <f t="shared" si="0"/>
        <v>75</v>
      </c>
      <c r="H17" s="50">
        <f t="shared" si="1"/>
        <v>142.5</v>
      </c>
      <c r="I17" s="51">
        <f t="shared" si="2"/>
        <v>12.5</v>
      </c>
      <c r="J17" s="52"/>
      <c r="K17" s="52">
        <v>0</v>
      </c>
      <c r="L17" s="53"/>
      <c r="M17" s="54">
        <f t="shared" si="3"/>
        <v>912.5</v>
      </c>
      <c r="N17" s="55">
        <f t="shared" si="4"/>
        <v>1142.5</v>
      </c>
      <c r="O17" s="33" t="s">
        <v>54</v>
      </c>
      <c r="P17" s="60" t="s">
        <v>88</v>
      </c>
      <c r="Q17" s="60" t="s">
        <v>89</v>
      </c>
      <c r="R17" s="61" t="s">
        <v>55</v>
      </c>
      <c r="S17" s="62">
        <v>329111</v>
      </c>
      <c r="T17" s="60" t="s">
        <v>56</v>
      </c>
    </row>
    <row r="18" spans="1:20" x14ac:dyDescent="0.2">
      <c r="A18" s="45">
        <v>14</v>
      </c>
      <c r="B18" s="45" t="s">
        <v>90</v>
      </c>
      <c r="C18" s="46" t="s">
        <v>91</v>
      </c>
      <c r="D18" s="70" t="s">
        <v>53</v>
      </c>
      <c r="E18" s="69">
        <v>1470</v>
      </c>
      <c r="F18" s="49">
        <v>1470</v>
      </c>
      <c r="G18" s="50">
        <f t="shared" si="0"/>
        <v>110.25</v>
      </c>
      <c r="H18" s="50">
        <f t="shared" si="1"/>
        <v>209.47499999999999</v>
      </c>
      <c r="I18" s="51">
        <f t="shared" si="2"/>
        <v>51.166666666666664</v>
      </c>
      <c r="J18" s="52"/>
      <c r="K18" s="52">
        <v>0</v>
      </c>
      <c r="L18" s="53"/>
      <c r="M18" s="54">
        <f t="shared" si="3"/>
        <v>1308.5833333333333</v>
      </c>
      <c r="N18" s="55">
        <f t="shared" si="4"/>
        <v>1679.4749999999999</v>
      </c>
      <c r="O18" s="33" t="s">
        <v>54</v>
      </c>
      <c r="P18" s="60" t="s">
        <v>90</v>
      </c>
      <c r="Q18" s="60" t="s">
        <v>91</v>
      </c>
      <c r="R18" s="61" t="s">
        <v>55</v>
      </c>
      <c r="S18" s="62">
        <v>329111</v>
      </c>
      <c r="T18" s="60" t="s">
        <v>56</v>
      </c>
    </row>
    <row r="19" spans="1:20" ht="15" thickBot="1" x14ac:dyDescent="0.25">
      <c r="A19" s="45">
        <v>15</v>
      </c>
      <c r="B19" s="45" t="s">
        <v>92</v>
      </c>
      <c r="C19" s="46" t="s">
        <v>93</v>
      </c>
      <c r="D19" s="70" t="s">
        <v>94</v>
      </c>
      <c r="E19" s="69">
        <v>2840</v>
      </c>
      <c r="F19" s="49">
        <v>2840</v>
      </c>
      <c r="G19" s="50">
        <f t="shared" si="0"/>
        <v>213</v>
      </c>
      <c r="H19" s="50">
        <f t="shared" si="1"/>
        <v>404.7</v>
      </c>
      <c r="I19" s="51">
        <f t="shared" si="2"/>
        <v>143</v>
      </c>
      <c r="J19" s="52"/>
      <c r="K19" s="52">
        <v>0</v>
      </c>
      <c r="L19" s="53"/>
      <c r="M19" s="54">
        <f t="shared" si="3"/>
        <v>2484</v>
      </c>
      <c r="N19" s="55">
        <f t="shared" si="4"/>
        <v>3244.7</v>
      </c>
      <c r="O19" s="33" t="s">
        <v>69</v>
      </c>
      <c r="P19" s="60" t="s">
        <v>92</v>
      </c>
      <c r="Q19" s="60" t="s">
        <v>93</v>
      </c>
      <c r="R19" s="61" t="s">
        <v>55</v>
      </c>
      <c r="S19" s="62">
        <v>329111</v>
      </c>
      <c r="T19" s="60" t="s">
        <v>56</v>
      </c>
    </row>
    <row r="20" spans="1:20" x14ac:dyDescent="0.2">
      <c r="A20" s="63">
        <v>16</v>
      </c>
      <c r="B20" s="45" t="s">
        <v>98</v>
      </c>
      <c r="C20" s="46" t="s">
        <v>99</v>
      </c>
      <c r="D20" s="70" t="s">
        <v>100</v>
      </c>
      <c r="E20" s="68">
        <v>1675</v>
      </c>
      <c r="F20" s="52">
        <v>1675</v>
      </c>
      <c r="G20" s="50">
        <f t="shared" si="0"/>
        <v>125.625</v>
      </c>
      <c r="H20" s="50">
        <f t="shared" si="1"/>
        <v>238.68749999999997</v>
      </c>
      <c r="I20" s="51">
        <f t="shared" si="2"/>
        <v>8.75</v>
      </c>
      <c r="J20" s="52"/>
      <c r="K20" s="52">
        <v>0</v>
      </c>
      <c r="L20" s="53"/>
      <c r="M20" s="54">
        <f t="shared" si="3"/>
        <v>1540.625</v>
      </c>
      <c r="N20" s="55">
        <f t="shared" si="4"/>
        <v>1913.6875</v>
      </c>
      <c r="O20" s="33" t="s">
        <v>69</v>
      </c>
      <c r="P20" s="60" t="s">
        <v>98</v>
      </c>
      <c r="Q20" s="60" t="s">
        <v>99</v>
      </c>
      <c r="R20" s="61" t="s">
        <v>101</v>
      </c>
      <c r="S20" s="62">
        <v>349311</v>
      </c>
      <c r="T20" s="60" t="s">
        <v>102</v>
      </c>
    </row>
    <row r="21" spans="1:20" x14ac:dyDescent="0.2">
      <c r="A21" s="45">
        <v>17</v>
      </c>
      <c r="B21" s="45" t="s">
        <v>103</v>
      </c>
      <c r="C21" s="46" t="s">
        <v>104</v>
      </c>
      <c r="D21" s="70" t="s">
        <v>82</v>
      </c>
      <c r="E21" s="68">
        <v>1012</v>
      </c>
      <c r="F21" s="52">
        <v>1012</v>
      </c>
      <c r="G21" s="50">
        <f t="shared" si="0"/>
        <v>75.899999999999991</v>
      </c>
      <c r="H21" s="50">
        <f t="shared" si="1"/>
        <v>144.20999999999998</v>
      </c>
      <c r="I21" s="51">
        <f t="shared" si="2"/>
        <v>13.100000000000001</v>
      </c>
      <c r="J21" s="52"/>
      <c r="K21" s="52">
        <v>0</v>
      </c>
      <c r="L21" s="53"/>
      <c r="M21" s="54">
        <f t="shared" si="3"/>
        <v>923</v>
      </c>
      <c r="N21" s="55">
        <f t="shared" si="4"/>
        <v>1156.21</v>
      </c>
      <c r="O21" s="33" t="s">
        <v>54</v>
      </c>
      <c r="P21" s="60" t="s">
        <v>103</v>
      </c>
      <c r="Q21" s="60" t="s">
        <v>104</v>
      </c>
      <c r="R21" s="61" t="s">
        <v>59</v>
      </c>
      <c r="S21" s="62">
        <v>329111</v>
      </c>
      <c r="T21" s="60" t="s">
        <v>56</v>
      </c>
    </row>
    <row r="22" spans="1:20" x14ac:dyDescent="0.2">
      <c r="A22" s="45">
        <v>18</v>
      </c>
      <c r="B22" s="71" t="s">
        <v>107</v>
      </c>
      <c r="C22" s="46" t="s">
        <v>108</v>
      </c>
      <c r="D22" s="70" t="s">
        <v>109</v>
      </c>
      <c r="E22" s="68">
        <v>2500</v>
      </c>
      <c r="F22" s="52">
        <v>2500</v>
      </c>
      <c r="G22" s="50">
        <f t="shared" si="0"/>
        <v>187.5</v>
      </c>
      <c r="H22" s="50">
        <f t="shared" si="1"/>
        <v>356.24999999999994</v>
      </c>
      <c r="I22" s="51">
        <f t="shared" si="2"/>
        <v>87.5</v>
      </c>
      <c r="J22" s="52"/>
      <c r="K22" s="52">
        <v>0</v>
      </c>
      <c r="L22" s="53"/>
      <c r="M22" s="54">
        <f t="shared" si="3"/>
        <v>2225</v>
      </c>
      <c r="N22" s="55">
        <f t="shared" si="4"/>
        <v>2856.25</v>
      </c>
      <c r="O22" s="33" t="s">
        <v>69</v>
      </c>
      <c r="P22" s="60" t="s">
        <v>107</v>
      </c>
      <c r="Q22" s="60" t="s">
        <v>108</v>
      </c>
      <c r="R22" s="61" t="s">
        <v>59</v>
      </c>
      <c r="S22" s="62">
        <v>122111</v>
      </c>
      <c r="T22" s="60" t="s">
        <v>110</v>
      </c>
    </row>
    <row r="23" spans="1:20" x14ac:dyDescent="0.2">
      <c r="A23" s="45">
        <v>19</v>
      </c>
      <c r="B23" s="45" t="s">
        <v>111</v>
      </c>
      <c r="C23" s="46" t="s">
        <v>112</v>
      </c>
      <c r="D23" s="70" t="s">
        <v>82</v>
      </c>
      <c r="E23" s="68">
        <v>1012</v>
      </c>
      <c r="F23" s="52">
        <v>1012</v>
      </c>
      <c r="G23" s="50">
        <f t="shared" si="0"/>
        <v>75.899999999999991</v>
      </c>
      <c r="H23" s="50">
        <f t="shared" si="1"/>
        <v>144.20999999999998</v>
      </c>
      <c r="I23" s="51">
        <f t="shared" si="2"/>
        <v>13.100000000000001</v>
      </c>
      <c r="J23" s="52"/>
      <c r="K23" s="52">
        <v>0</v>
      </c>
      <c r="L23" s="53"/>
      <c r="M23" s="54">
        <f t="shared" si="3"/>
        <v>923</v>
      </c>
      <c r="N23" s="55">
        <f t="shared" si="4"/>
        <v>1156.21</v>
      </c>
      <c r="O23" s="33" t="s">
        <v>54</v>
      </c>
      <c r="P23" s="60" t="s">
        <v>111</v>
      </c>
      <c r="Q23" s="60" t="s">
        <v>112</v>
      </c>
      <c r="R23" s="61" t="s">
        <v>59</v>
      </c>
      <c r="S23" s="62">
        <v>329111</v>
      </c>
      <c r="T23" s="60" t="s">
        <v>56</v>
      </c>
    </row>
    <row r="24" spans="1:20" x14ac:dyDescent="0.2">
      <c r="A24" s="45">
        <v>20</v>
      </c>
      <c r="B24" s="45" t="s">
        <v>113</v>
      </c>
      <c r="C24" s="46" t="s">
        <v>114</v>
      </c>
      <c r="D24" s="70" t="s">
        <v>82</v>
      </c>
      <c r="E24" s="68">
        <v>976</v>
      </c>
      <c r="F24" s="52">
        <v>976</v>
      </c>
      <c r="G24" s="50">
        <f t="shared" si="0"/>
        <v>73.2</v>
      </c>
      <c r="H24" s="50">
        <f t="shared" si="1"/>
        <v>139.07999999999998</v>
      </c>
      <c r="I24" s="51">
        <f t="shared" si="2"/>
        <v>11.299999999999999</v>
      </c>
      <c r="J24" s="52"/>
      <c r="K24" s="52">
        <v>0</v>
      </c>
      <c r="L24" s="53"/>
      <c r="M24" s="54">
        <f t="shared" si="3"/>
        <v>891.5</v>
      </c>
      <c r="N24" s="55">
        <f t="shared" si="4"/>
        <v>1115.08</v>
      </c>
      <c r="O24" s="33" t="s">
        <v>54</v>
      </c>
      <c r="P24" s="60" t="s">
        <v>113</v>
      </c>
      <c r="Q24" s="60" t="s">
        <v>114</v>
      </c>
      <c r="R24" s="61" t="s">
        <v>59</v>
      </c>
      <c r="S24" s="62">
        <v>329111</v>
      </c>
      <c r="T24" s="60" t="s">
        <v>56</v>
      </c>
    </row>
    <row r="25" spans="1:20" ht="15" thickBot="1" x14ac:dyDescent="0.25">
      <c r="A25" s="45">
        <v>21</v>
      </c>
      <c r="B25" s="45" t="s">
        <v>115</v>
      </c>
      <c r="C25" s="46" t="s">
        <v>116</v>
      </c>
      <c r="D25" s="70" t="s">
        <v>82</v>
      </c>
      <c r="E25" s="68">
        <v>1012</v>
      </c>
      <c r="F25" s="52">
        <v>1012</v>
      </c>
      <c r="G25" s="50">
        <f t="shared" si="0"/>
        <v>75.899999999999991</v>
      </c>
      <c r="H25" s="50">
        <f t="shared" si="1"/>
        <v>144.20999999999998</v>
      </c>
      <c r="I25" s="51">
        <f t="shared" si="2"/>
        <v>13.100000000000001</v>
      </c>
      <c r="J25" s="52"/>
      <c r="K25" s="52">
        <v>0</v>
      </c>
      <c r="L25" s="53"/>
      <c r="M25" s="54">
        <f t="shared" si="3"/>
        <v>923</v>
      </c>
      <c r="N25" s="55">
        <f t="shared" si="4"/>
        <v>1156.21</v>
      </c>
      <c r="O25" s="33" t="s">
        <v>54</v>
      </c>
      <c r="P25" s="60" t="s">
        <v>115</v>
      </c>
      <c r="Q25" s="60" t="s">
        <v>116</v>
      </c>
      <c r="R25" s="61" t="s">
        <v>59</v>
      </c>
      <c r="S25" s="62">
        <v>329111</v>
      </c>
      <c r="T25" s="60" t="s">
        <v>56</v>
      </c>
    </row>
    <row r="26" spans="1:20" x14ac:dyDescent="0.2">
      <c r="A26" s="63">
        <v>22</v>
      </c>
      <c r="B26" s="71" t="s">
        <v>117</v>
      </c>
      <c r="C26" s="46" t="s">
        <v>118</v>
      </c>
      <c r="D26" s="70" t="s">
        <v>97</v>
      </c>
      <c r="E26" s="68">
        <v>1000</v>
      </c>
      <c r="F26" s="52">
        <v>1000</v>
      </c>
      <c r="G26" s="50">
        <f t="shared" si="0"/>
        <v>75</v>
      </c>
      <c r="H26" s="50">
        <f t="shared" si="1"/>
        <v>142.5</v>
      </c>
      <c r="I26" s="51">
        <f t="shared" si="2"/>
        <v>12.5</v>
      </c>
      <c r="J26" s="52"/>
      <c r="K26" s="52">
        <v>0</v>
      </c>
      <c r="L26" s="53"/>
      <c r="M26" s="54">
        <f t="shared" si="3"/>
        <v>912.5</v>
      </c>
      <c r="N26" s="55">
        <f t="shared" si="4"/>
        <v>1142.5</v>
      </c>
      <c r="O26" s="33" t="s">
        <v>54</v>
      </c>
      <c r="P26" s="60" t="s">
        <v>117</v>
      </c>
      <c r="Q26" s="60" t="s">
        <v>118</v>
      </c>
      <c r="R26" s="61" t="s">
        <v>59</v>
      </c>
      <c r="S26" s="62">
        <v>323111</v>
      </c>
      <c r="T26" s="60" t="s">
        <v>56</v>
      </c>
    </row>
    <row r="27" spans="1:20" x14ac:dyDescent="0.2">
      <c r="A27" s="45">
        <v>23</v>
      </c>
      <c r="B27" s="71" t="s">
        <v>119</v>
      </c>
      <c r="C27" s="46" t="s">
        <v>120</v>
      </c>
      <c r="D27" s="70" t="s">
        <v>85</v>
      </c>
      <c r="E27" s="68">
        <v>1705</v>
      </c>
      <c r="F27" s="52">
        <v>1705</v>
      </c>
      <c r="G27" s="50">
        <f t="shared" si="0"/>
        <v>127.875</v>
      </c>
      <c r="H27" s="50">
        <f t="shared" si="1"/>
        <v>242.96249999999998</v>
      </c>
      <c r="I27" s="51">
        <f t="shared" si="2"/>
        <v>80.75</v>
      </c>
      <c r="J27" s="52"/>
      <c r="K27" s="52">
        <v>0</v>
      </c>
      <c r="L27" s="53"/>
      <c r="M27" s="54">
        <f t="shared" si="3"/>
        <v>1496.375</v>
      </c>
      <c r="N27" s="55">
        <f t="shared" si="4"/>
        <v>1947.9625000000001</v>
      </c>
      <c r="O27" s="33" t="s">
        <v>54</v>
      </c>
      <c r="P27" s="60" t="s">
        <v>119</v>
      </c>
      <c r="Q27" s="60" t="s">
        <v>120</v>
      </c>
      <c r="R27" s="61" t="s">
        <v>59</v>
      </c>
      <c r="S27" s="62">
        <v>323111</v>
      </c>
      <c r="T27" s="60" t="s">
        <v>56</v>
      </c>
    </row>
    <row r="28" spans="1:20" x14ac:dyDescent="0.2">
      <c r="A28" s="45">
        <v>24</v>
      </c>
      <c r="B28" s="71" t="s">
        <v>121</v>
      </c>
      <c r="C28" s="46" t="s">
        <v>122</v>
      </c>
      <c r="D28" s="70" t="s">
        <v>123</v>
      </c>
      <c r="E28" s="68">
        <v>1633</v>
      </c>
      <c r="F28" s="52">
        <v>1633</v>
      </c>
      <c r="G28" s="50">
        <f t="shared" si="0"/>
        <v>122.47499999999999</v>
      </c>
      <c r="H28" s="50">
        <f t="shared" si="1"/>
        <v>232.70249999999999</v>
      </c>
      <c r="I28" s="51">
        <f t="shared" si="2"/>
        <v>69.95</v>
      </c>
      <c r="J28" s="52"/>
      <c r="K28" s="52">
        <v>0</v>
      </c>
      <c r="L28" s="53"/>
      <c r="M28" s="54">
        <f t="shared" si="3"/>
        <v>1440.575</v>
      </c>
      <c r="N28" s="55">
        <f t="shared" si="4"/>
        <v>1865.7024999999999</v>
      </c>
      <c r="O28" s="33" t="s">
        <v>54</v>
      </c>
      <c r="P28" s="60" t="s">
        <v>121</v>
      </c>
      <c r="Q28" s="60" t="s">
        <v>122</v>
      </c>
      <c r="R28" s="61" t="s">
        <v>59</v>
      </c>
      <c r="S28" s="62">
        <v>323111</v>
      </c>
      <c r="T28" s="60" t="s">
        <v>56</v>
      </c>
    </row>
    <row r="29" spans="1:20" x14ac:dyDescent="0.2">
      <c r="A29" s="45">
        <v>25</v>
      </c>
      <c r="B29" s="71" t="s">
        <v>124</v>
      </c>
      <c r="C29" s="46" t="s">
        <v>125</v>
      </c>
      <c r="D29" s="70" t="s">
        <v>77</v>
      </c>
      <c r="E29" s="68">
        <v>1450</v>
      </c>
      <c r="F29" s="52">
        <v>1450</v>
      </c>
      <c r="G29" s="50">
        <f t="shared" si="0"/>
        <v>108.75</v>
      </c>
      <c r="H29" s="50">
        <f t="shared" si="1"/>
        <v>206.62499999999997</v>
      </c>
      <c r="I29" s="51">
        <f t="shared" si="2"/>
        <v>49.166666666666664</v>
      </c>
      <c r="J29" s="52"/>
      <c r="K29" s="52">
        <v>0</v>
      </c>
      <c r="L29" s="53"/>
      <c r="M29" s="54">
        <f t="shared" si="3"/>
        <v>1292.0833333333333</v>
      </c>
      <c r="N29" s="55">
        <f t="shared" si="4"/>
        <v>1656.625</v>
      </c>
      <c r="O29" s="33" t="s">
        <v>54</v>
      </c>
      <c r="P29" s="60" t="s">
        <v>124</v>
      </c>
      <c r="Q29" s="60" t="s">
        <v>125</v>
      </c>
      <c r="R29" s="61" t="s">
        <v>59</v>
      </c>
      <c r="S29" s="62">
        <v>323111</v>
      </c>
      <c r="T29" s="60" t="s">
        <v>56</v>
      </c>
    </row>
    <row r="30" spans="1:20" x14ac:dyDescent="0.2">
      <c r="A30" s="45">
        <v>26</v>
      </c>
      <c r="B30" s="71" t="s">
        <v>126</v>
      </c>
      <c r="C30" s="46" t="s">
        <v>127</v>
      </c>
      <c r="D30" s="70" t="s">
        <v>128</v>
      </c>
      <c r="E30" s="68">
        <v>615</v>
      </c>
      <c r="F30" s="52">
        <v>615</v>
      </c>
      <c r="G30" s="50">
        <f t="shared" si="0"/>
        <v>46.125</v>
      </c>
      <c r="H30" s="50">
        <f t="shared" si="1"/>
        <v>87.637499999999989</v>
      </c>
      <c r="I30" s="51">
        <f t="shared" si="2"/>
        <v>0</v>
      </c>
      <c r="J30" s="52"/>
      <c r="K30" s="52">
        <v>0</v>
      </c>
      <c r="L30" s="53"/>
      <c r="M30" s="54">
        <f t="shared" si="3"/>
        <v>568.875</v>
      </c>
      <c r="N30" s="55">
        <f t="shared" si="4"/>
        <v>702.63750000000005</v>
      </c>
      <c r="O30" s="33" t="s">
        <v>54</v>
      </c>
      <c r="P30" s="60" t="s">
        <v>126</v>
      </c>
      <c r="Q30" s="60" t="s">
        <v>127</v>
      </c>
      <c r="R30" s="61" t="s">
        <v>59</v>
      </c>
      <c r="S30" s="62">
        <v>325311</v>
      </c>
      <c r="T30" s="72" t="s">
        <v>56</v>
      </c>
    </row>
    <row r="31" spans="1:20" ht="15" thickBot="1" x14ac:dyDescent="0.25">
      <c r="A31" s="45">
        <v>27</v>
      </c>
      <c r="B31" s="71" t="s">
        <v>129</v>
      </c>
      <c r="C31" s="46" t="s">
        <v>130</v>
      </c>
      <c r="D31" s="70" t="s">
        <v>85</v>
      </c>
      <c r="E31" s="68">
        <v>1193</v>
      </c>
      <c r="F31" s="52">
        <v>1193</v>
      </c>
      <c r="G31" s="50">
        <f t="shared" si="0"/>
        <v>89.474999999999994</v>
      </c>
      <c r="H31" s="50">
        <f t="shared" si="1"/>
        <v>170.0025</v>
      </c>
      <c r="I31" s="51">
        <f t="shared" si="2"/>
        <v>23.466666666666669</v>
      </c>
      <c r="J31" s="52"/>
      <c r="K31" s="52">
        <v>0</v>
      </c>
      <c r="L31" s="53"/>
      <c r="M31" s="54">
        <f t="shared" si="3"/>
        <v>1080.0583333333334</v>
      </c>
      <c r="N31" s="55">
        <f t="shared" si="4"/>
        <v>1363.0025000000001</v>
      </c>
      <c r="O31" s="33" t="s">
        <v>54</v>
      </c>
      <c r="P31" s="60" t="s">
        <v>129</v>
      </c>
      <c r="Q31" s="60" t="s">
        <v>130</v>
      </c>
      <c r="R31" s="61" t="s">
        <v>59</v>
      </c>
      <c r="S31" s="62">
        <v>323111</v>
      </c>
      <c r="T31" s="60" t="s">
        <v>56</v>
      </c>
    </row>
    <row r="32" spans="1:20" x14ac:dyDescent="0.2">
      <c r="A32" s="63">
        <v>28</v>
      </c>
      <c r="B32" s="71" t="s">
        <v>131</v>
      </c>
      <c r="C32" s="46" t="s">
        <v>132</v>
      </c>
      <c r="D32" s="70" t="s">
        <v>133</v>
      </c>
      <c r="E32" s="68">
        <v>2272</v>
      </c>
      <c r="F32" s="52">
        <v>2272</v>
      </c>
      <c r="G32" s="50">
        <f t="shared" si="0"/>
        <v>170.4</v>
      </c>
      <c r="H32" s="50">
        <f t="shared" si="1"/>
        <v>323.76</v>
      </c>
      <c r="I32" s="51">
        <f t="shared" si="2"/>
        <v>179.4</v>
      </c>
      <c r="J32" s="52"/>
      <c r="K32" s="52">
        <v>0</v>
      </c>
      <c r="L32" s="53"/>
      <c r="M32" s="54">
        <f t="shared" si="3"/>
        <v>1922.2</v>
      </c>
      <c r="N32" s="55">
        <f t="shared" si="4"/>
        <v>2595.7600000000002</v>
      </c>
      <c r="O32" s="33" t="s">
        <v>54</v>
      </c>
      <c r="P32" s="60" t="s">
        <v>131</v>
      </c>
      <c r="Q32" s="60" t="s">
        <v>132</v>
      </c>
      <c r="R32" s="61" t="s">
        <v>59</v>
      </c>
      <c r="S32" s="62">
        <v>323111</v>
      </c>
      <c r="T32" s="60" t="s">
        <v>56</v>
      </c>
    </row>
    <row r="33" spans="1:20" x14ac:dyDescent="0.2">
      <c r="A33" s="45">
        <v>29</v>
      </c>
      <c r="B33" s="71" t="s">
        <v>134</v>
      </c>
      <c r="C33" s="46" t="s">
        <v>135</v>
      </c>
      <c r="D33" s="70" t="s">
        <v>136</v>
      </c>
      <c r="E33" s="68">
        <v>815</v>
      </c>
      <c r="F33" s="52">
        <v>815</v>
      </c>
      <c r="G33" s="50">
        <f t="shared" si="0"/>
        <v>61.125</v>
      </c>
      <c r="H33" s="50">
        <f t="shared" si="1"/>
        <v>116.13749999999999</v>
      </c>
      <c r="I33" s="51">
        <f t="shared" si="2"/>
        <v>3.25</v>
      </c>
      <c r="J33" s="52"/>
      <c r="K33" s="52">
        <v>0</v>
      </c>
      <c r="L33" s="53"/>
      <c r="M33" s="54">
        <f t="shared" si="3"/>
        <v>750.625</v>
      </c>
      <c r="N33" s="55">
        <f t="shared" si="4"/>
        <v>931.13750000000005</v>
      </c>
      <c r="O33" s="33" t="s">
        <v>54</v>
      </c>
      <c r="P33" s="60" t="s">
        <v>134</v>
      </c>
      <c r="Q33" s="60" t="s">
        <v>135</v>
      </c>
      <c r="R33" s="61" t="s">
        <v>137</v>
      </c>
      <c r="S33" s="62">
        <v>311311</v>
      </c>
      <c r="T33" s="60" t="s">
        <v>138</v>
      </c>
    </row>
    <row r="34" spans="1:20" x14ac:dyDescent="0.2">
      <c r="A34" s="45">
        <v>30</v>
      </c>
      <c r="B34" s="71" t="s">
        <v>139</v>
      </c>
      <c r="C34" s="46" t="s">
        <v>140</v>
      </c>
      <c r="D34" s="70" t="s">
        <v>65</v>
      </c>
      <c r="E34" s="68">
        <v>1022</v>
      </c>
      <c r="F34" s="52">
        <v>1022</v>
      </c>
      <c r="G34" s="50">
        <f t="shared" si="0"/>
        <v>76.649999999999991</v>
      </c>
      <c r="H34" s="50">
        <f t="shared" si="1"/>
        <v>145.63499999999999</v>
      </c>
      <c r="I34" s="51">
        <f t="shared" si="2"/>
        <v>0</v>
      </c>
      <c r="J34" s="52"/>
      <c r="K34" s="52">
        <v>0</v>
      </c>
      <c r="L34" s="53"/>
      <c r="M34" s="54">
        <f t="shared" si="3"/>
        <v>945.35</v>
      </c>
      <c r="N34" s="55">
        <f t="shared" si="4"/>
        <v>1167.635</v>
      </c>
      <c r="O34" s="33" t="s">
        <v>69</v>
      </c>
      <c r="P34" s="60" t="s">
        <v>139</v>
      </c>
      <c r="Q34" s="60" t="s">
        <v>140</v>
      </c>
      <c r="R34" s="61" t="s">
        <v>59</v>
      </c>
      <c r="S34" s="62">
        <v>323111</v>
      </c>
      <c r="T34" s="60" t="s">
        <v>56</v>
      </c>
    </row>
    <row r="35" spans="1:20" x14ac:dyDescent="0.2">
      <c r="A35" s="45">
        <v>31</v>
      </c>
      <c r="B35" s="71" t="s">
        <v>141</v>
      </c>
      <c r="C35" s="46" t="s">
        <v>142</v>
      </c>
      <c r="D35" s="70" t="s">
        <v>143</v>
      </c>
      <c r="E35" s="68">
        <v>2800</v>
      </c>
      <c r="F35" s="52">
        <v>2800</v>
      </c>
      <c r="G35" s="50">
        <f t="shared" si="0"/>
        <v>210</v>
      </c>
      <c r="H35" s="50">
        <f t="shared" si="1"/>
        <v>398.99999999999994</v>
      </c>
      <c r="I35" s="51">
        <f t="shared" si="2"/>
        <v>135</v>
      </c>
      <c r="J35" s="52"/>
      <c r="K35" s="52">
        <v>0</v>
      </c>
      <c r="L35" s="53"/>
      <c r="M35" s="54">
        <f t="shared" si="3"/>
        <v>2455</v>
      </c>
      <c r="N35" s="55">
        <f t="shared" si="4"/>
        <v>3199</v>
      </c>
      <c r="O35" s="33" t="s">
        <v>69</v>
      </c>
      <c r="P35" s="60" t="s">
        <v>141</v>
      </c>
      <c r="Q35" s="60" t="s">
        <v>142</v>
      </c>
      <c r="R35" s="61" t="s">
        <v>59</v>
      </c>
      <c r="S35" s="62">
        <v>323111</v>
      </c>
      <c r="T35" s="60" t="s">
        <v>56</v>
      </c>
    </row>
    <row r="36" spans="1:20" x14ac:dyDescent="0.2">
      <c r="A36" s="45">
        <v>32</v>
      </c>
      <c r="B36" s="71" t="s">
        <v>144</v>
      </c>
      <c r="C36" s="46" t="s">
        <v>145</v>
      </c>
      <c r="D36" s="70" t="s">
        <v>65</v>
      </c>
      <c r="E36" s="68">
        <v>1065</v>
      </c>
      <c r="F36" s="52">
        <v>1065</v>
      </c>
      <c r="G36" s="50">
        <f t="shared" si="0"/>
        <v>79.875</v>
      </c>
      <c r="H36" s="50">
        <f t="shared" si="1"/>
        <v>151.76249999999999</v>
      </c>
      <c r="I36" s="51">
        <f t="shared" si="2"/>
        <v>15.75</v>
      </c>
      <c r="J36" s="52"/>
      <c r="K36" s="52">
        <v>0</v>
      </c>
      <c r="L36" s="53"/>
      <c r="M36" s="54">
        <f t="shared" si="3"/>
        <v>969.375</v>
      </c>
      <c r="N36" s="55">
        <f t="shared" si="4"/>
        <v>1216.7625</v>
      </c>
      <c r="O36" s="33" t="s">
        <v>54</v>
      </c>
      <c r="P36" s="60" t="s">
        <v>144</v>
      </c>
      <c r="Q36" s="60" t="s">
        <v>145</v>
      </c>
      <c r="R36" s="61" t="s">
        <v>59</v>
      </c>
      <c r="S36" s="62">
        <v>323111</v>
      </c>
      <c r="T36" s="60" t="s">
        <v>56</v>
      </c>
    </row>
    <row r="37" spans="1:20" ht="15" thickBot="1" x14ac:dyDescent="0.25">
      <c r="A37" s="45">
        <v>33</v>
      </c>
      <c r="B37" s="71" t="s">
        <v>146</v>
      </c>
      <c r="C37" s="46" t="s">
        <v>147</v>
      </c>
      <c r="D37" s="70" t="s">
        <v>148</v>
      </c>
      <c r="E37" s="68">
        <v>1600</v>
      </c>
      <c r="F37" s="52">
        <v>1600</v>
      </c>
      <c r="G37" s="50">
        <f t="shared" si="0"/>
        <v>120</v>
      </c>
      <c r="H37" s="50">
        <f t="shared" si="1"/>
        <v>227.99999999999997</v>
      </c>
      <c r="I37" s="51">
        <f t="shared" si="2"/>
        <v>5</v>
      </c>
      <c r="J37" s="52"/>
      <c r="K37" s="52">
        <v>0</v>
      </c>
      <c r="L37" s="53"/>
      <c r="M37" s="54">
        <f t="shared" si="3"/>
        <v>1475</v>
      </c>
      <c r="N37" s="55">
        <f t="shared" si="4"/>
        <v>1828</v>
      </c>
      <c r="O37" s="33" t="s">
        <v>69</v>
      </c>
      <c r="P37" s="60" t="s">
        <v>146</v>
      </c>
      <c r="Q37" s="60" t="s">
        <v>147</v>
      </c>
      <c r="R37" s="61" t="s">
        <v>101</v>
      </c>
      <c r="S37" s="62">
        <v>349311</v>
      </c>
      <c r="T37" s="60" t="s">
        <v>102</v>
      </c>
    </row>
    <row r="38" spans="1:20" x14ac:dyDescent="0.2">
      <c r="A38" s="63">
        <v>34</v>
      </c>
      <c r="B38" s="71" t="s">
        <v>149</v>
      </c>
      <c r="C38" s="46" t="s">
        <v>150</v>
      </c>
      <c r="D38" s="70" t="s">
        <v>143</v>
      </c>
      <c r="E38" s="68">
        <v>2740</v>
      </c>
      <c r="F38" s="52">
        <v>2740</v>
      </c>
      <c r="G38" s="50">
        <f t="shared" si="0"/>
        <v>205.5</v>
      </c>
      <c r="H38" s="50">
        <f t="shared" si="1"/>
        <v>390.45</v>
      </c>
      <c r="I38" s="51">
        <f t="shared" si="2"/>
        <v>123.5</v>
      </c>
      <c r="J38" s="52"/>
      <c r="K38" s="52">
        <v>0</v>
      </c>
      <c r="L38" s="53"/>
      <c r="M38" s="54">
        <f t="shared" si="3"/>
        <v>2411</v>
      </c>
      <c r="N38" s="55">
        <f t="shared" si="4"/>
        <v>3130.45</v>
      </c>
      <c r="O38" s="33" t="s">
        <v>69</v>
      </c>
      <c r="P38" s="60" t="s">
        <v>149</v>
      </c>
      <c r="Q38" s="60" t="s">
        <v>150</v>
      </c>
      <c r="R38" s="61" t="s">
        <v>59</v>
      </c>
      <c r="S38" s="62">
        <v>323111</v>
      </c>
      <c r="T38" s="60" t="s">
        <v>56</v>
      </c>
    </row>
    <row r="39" spans="1:20" x14ac:dyDescent="0.2">
      <c r="A39" s="45">
        <v>35</v>
      </c>
      <c r="B39" s="71" t="s">
        <v>151</v>
      </c>
      <c r="C39" s="46" t="s">
        <v>152</v>
      </c>
      <c r="D39" s="70" t="s">
        <v>143</v>
      </c>
      <c r="E39" s="68">
        <v>2270</v>
      </c>
      <c r="F39" s="52">
        <v>2270</v>
      </c>
      <c r="G39" s="50">
        <f t="shared" si="0"/>
        <v>170.25</v>
      </c>
      <c r="H39" s="50">
        <f t="shared" si="1"/>
        <v>323.47499999999997</v>
      </c>
      <c r="I39" s="51">
        <f t="shared" si="2"/>
        <v>56.166666666666664</v>
      </c>
      <c r="J39" s="52"/>
      <c r="K39" s="52">
        <v>0</v>
      </c>
      <c r="L39" s="53"/>
      <c r="M39" s="54">
        <f t="shared" si="3"/>
        <v>2043.5833333333333</v>
      </c>
      <c r="N39" s="55">
        <f t="shared" si="4"/>
        <v>2593.4749999999999</v>
      </c>
      <c r="O39" s="33" t="s">
        <v>69</v>
      </c>
      <c r="P39" s="60" t="s">
        <v>151</v>
      </c>
      <c r="Q39" s="60" t="s">
        <v>152</v>
      </c>
      <c r="R39" s="61" t="s">
        <v>59</v>
      </c>
      <c r="S39" s="62">
        <v>323111</v>
      </c>
      <c r="T39" s="60" t="s">
        <v>56</v>
      </c>
    </row>
    <row r="40" spans="1:20" x14ac:dyDescent="0.2">
      <c r="A40" s="45">
        <v>36</v>
      </c>
      <c r="B40" s="71" t="s">
        <v>153</v>
      </c>
      <c r="C40" s="46" t="s">
        <v>154</v>
      </c>
      <c r="D40" s="70" t="s">
        <v>97</v>
      </c>
      <c r="E40" s="68">
        <v>900</v>
      </c>
      <c r="F40" s="52">
        <v>900</v>
      </c>
      <c r="G40" s="50">
        <f t="shared" si="0"/>
        <v>67.5</v>
      </c>
      <c r="H40" s="50">
        <f t="shared" si="1"/>
        <v>128.25</v>
      </c>
      <c r="I40" s="51">
        <f t="shared" si="2"/>
        <v>7.5</v>
      </c>
      <c r="J40" s="52"/>
      <c r="K40" s="52">
        <v>0</v>
      </c>
      <c r="L40" s="53"/>
      <c r="M40" s="54">
        <f t="shared" si="3"/>
        <v>825</v>
      </c>
      <c r="N40" s="55">
        <f t="shared" si="4"/>
        <v>1028.25</v>
      </c>
      <c r="O40" s="33" t="s">
        <v>54</v>
      </c>
      <c r="P40" s="60" t="s">
        <v>153</v>
      </c>
      <c r="Q40" s="60" t="s">
        <v>154</v>
      </c>
      <c r="R40" s="61" t="s">
        <v>59</v>
      </c>
      <c r="S40" s="62">
        <v>323111</v>
      </c>
      <c r="T40" s="60" t="s">
        <v>56</v>
      </c>
    </row>
    <row r="41" spans="1:20" x14ac:dyDescent="0.2">
      <c r="A41" s="45">
        <v>37</v>
      </c>
      <c r="B41" s="71" t="s">
        <v>155</v>
      </c>
      <c r="C41" s="46" t="s">
        <v>156</v>
      </c>
      <c r="D41" s="70" t="s">
        <v>157</v>
      </c>
      <c r="E41" s="69">
        <v>1193</v>
      </c>
      <c r="F41" s="49">
        <v>1193</v>
      </c>
      <c r="G41" s="50">
        <f t="shared" si="0"/>
        <v>89.474999999999994</v>
      </c>
      <c r="H41" s="50">
        <f t="shared" si="1"/>
        <v>170.0025</v>
      </c>
      <c r="I41" s="51">
        <f t="shared" si="2"/>
        <v>23.466666666666669</v>
      </c>
      <c r="J41" s="52"/>
      <c r="K41" s="52">
        <v>0</v>
      </c>
      <c r="L41" s="53"/>
      <c r="M41" s="54">
        <f t="shared" si="3"/>
        <v>1080.0583333333334</v>
      </c>
      <c r="N41" s="55">
        <f t="shared" si="4"/>
        <v>1363.0025000000001</v>
      </c>
      <c r="O41" s="33" t="s">
        <v>54</v>
      </c>
      <c r="P41" s="60" t="s">
        <v>155</v>
      </c>
      <c r="Q41" s="60" t="s">
        <v>156</v>
      </c>
      <c r="R41" s="61" t="s">
        <v>55</v>
      </c>
      <c r="S41" s="62">
        <v>325311</v>
      </c>
      <c r="T41" s="72" t="s">
        <v>56</v>
      </c>
    </row>
    <row r="42" spans="1:20" x14ac:dyDescent="0.2">
      <c r="A42" s="45">
        <v>38</v>
      </c>
      <c r="B42" s="71" t="s">
        <v>158</v>
      </c>
      <c r="C42" s="46" t="s">
        <v>159</v>
      </c>
      <c r="D42" s="70" t="s">
        <v>160</v>
      </c>
      <c r="E42" s="68">
        <v>900</v>
      </c>
      <c r="F42" s="52">
        <f>900</f>
        <v>900</v>
      </c>
      <c r="G42" s="50">
        <f t="shared" si="0"/>
        <v>67.5</v>
      </c>
      <c r="H42" s="50">
        <f t="shared" si="1"/>
        <v>128.25</v>
      </c>
      <c r="I42" s="51">
        <f t="shared" si="2"/>
        <v>7.5</v>
      </c>
      <c r="J42" s="52"/>
      <c r="K42" s="52">
        <v>0</v>
      </c>
      <c r="L42" s="53"/>
      <c r="M42" s="54">
        <f t="shared" si="3"/>
        <v>825</v>
      </c>
      <c r="N42" s="55">
        <f t="shared" si="4"/>
        <v>1028.25</v>
      </c>
      <c r="O42" s="33" t="s">
        <v>54</v>
      </c>
      <c r="P42" s="60" t="s">
        <v>158</v>
      </c>
      <c r="Q42" s="60" t="s">
        <v>159</v>
      </c>
      <c r="R42" s="61" t="s">
        <v>55</v>
      </c>
      <c r="S42" s="62">
        <v>323111</v>
      </c>
      <c r="T42" s="60" t="s">
        <v>56</v>
      </c>
    </row>
    <row r="43" spans="1:20" ht="15" thickBot="1" x14ac:dyDescent="0.25">
      <c r="A43" s="45">
        <v>39</v>
      </c>
      <c r="B43" s="71" t="s">
        <v>161</v>
      </c>
      <c r="C43" s="73" t="s">
        <v>162</v>
      </c>
      <c r="D43" s="70" t="s">
        <v>163</v>
      </c>
      <c r="E43" s="68">
        <v>450</v>
      </c>
      <c r="F43" s="52">
        <v>450</v>
      </c>
      <c r="G43" s="50">
        <f t="shared" si="0"/>
        <v>33.75</v>
      </c>
      <c r="H43" s="50">
        <f t="shared" si="1"/>
        <v>64.125</v>
      </c>
      <c r="I43" s="51">
        <f t="shared" si="2"/>
        <v>0</v>
      </c>
      <c r="J43" s="52"/>
      <c r="K43" s="52">
        <v>0</v>
      </c>
      <c r="L43" s="53"/>
      <c r="M43" s="54">
        <f t="shared" si="3"/>
        <v>416.25</v>
      </c>
      <c r="N43" s="55">
        <f t="shared" si="4"/>
        <v>514.125</v>
      </c>
      <c r="O43" s="33" t="s">
        <v>69</v>
      </c>
      <c r="P43" s="60" t="s">
        <v>161</v>
      </c>
      <c r="Q43" s="60" t="s">
        <v>162</v>
      </c>
      <c r="R43" s="61" t="s">
        <v>59</v>
      </c>
      <c r="S43" s="62">
        <v>134311</v>
      </c>
      <c r="T43" s="60" t="s">
        <v>164</v>
      </c>
    </row>
    <row r="44" spans="1:20" x14ac:dyDescent="0.2">
      <c r="A44" s="63">
        <v>40</v>
      </c>
      <c r="B44" s="71" t="s">
        <v>165</v>
      </c>
      <c r="C44" s="46" t="s">
        <v>166</v>
      </c>
      <c r="D44" s="70" t="s">
        <v>167</v>
      </c>
      <c r="E44" s="68">
        <v>1700</v>
      </c>
      <c r="F44" s="52">
        <v>1700</v>
      </c>
      <c r="G44" s="50">
        <f t="shared" si="0"/>
        <v>127.5</v>
      </c>
      <c r="H44" s="50">
        <f t="shared" si="1"/>
        <v>242.24999999999997</v>
      </c>
      <c r="I44" s="51">
        <f t="shared" si="2"/>
        <v>10</v>
      </c>
      <c r="J44" s="52"/>
      <c r="K44" s="52">
        <v>0</v>
      </c>
      <c r="L44" s="53"/>
      <c r="M44" s="54">
        <f t="shared" si="3"/>
        <v>1562.5</v>
      </c>
      <c r="N44" s="55">
        <f t="shared" si="4"/>
        <v>1942.25</v>
      </c>
      <c r="O44" s="33" t="s">
        <v>69</v>
      </c>
      <c r="P44" s="60" t="s">
        <v>165</v>
      </c>
      <c r="Q44" s="60" t="s">
        <v>166</v>
      </c>
      <c r="R44" s="61" t="s">
        <v>55</v>
      </c>
      <c r="S44" s="62">
        <v>323111</v>
      </c>
      <c r="T44" s="60" t="s">
        <v>56</v>
      </c>
    </row>
    <row r="45" spans="1:20" x14ac:dyDescent="0.2">
      <c r="A45" s="45">
        <v>41</v>
      </c>
      <c r="B45" s="71" t="s">
        <v>168</v>
      </c>
      <c r="C45" s="46" t="s">
        <v>169</v>
      </c>
      <c r="D45" s="70" t="s">
        <v>170</v>
      </c>
      <c r="E45" s="74">
        <v>350</v>
      </c>
      <c r="F45" s="52">
        <v>350</v>
      </c>
      <c r="G45" s="50">
        <f t="shared" si="0"/>
        <v>26.25</v>
      </c>
      <c r="H45" s="50">
        <f t="shared" si="1"/>
        <v>49.874999999999993</v>
      </c>
      <c r="I45" s="51">
        <f t="shared" si="2"/>
        <v>0</v>
      </c>
      <c r="J45" s="52"/>
      <c r="K45" s="52">
        <v>0</v>
      </c>
      <c r="L45" s="53"/>
      <c r="M45" s="54">
        <f t="shared" si="3"/>
        <v>323.75</v>
      </c>
      <c r="N45" s="55">
        <f t="shared" si="4"/>
        <v>399.875</v>
      </c>
      <c r="O45" s="33" t="s">
        <v>54</v>
      </c>
      <c r="P45" s="60" t="s">
        <v>168</v>
      </c>
      <c r="Q45" s="60" t="s">
        <v>169</v>
      </c>
      <c r="R45" s="61" t="s">
        <v>55</v>
      </c>
      <c r="S45" s="62">
        <v>325311</v>
      </c>
      <c r="T45" s="72" t="s">
        <v>56</v>
      </c>
    </row>
    <row r="46" spans="1:20" x14ac:dyDescent="0.2">
      <c r="A46" s="45">
        <v>42</v>
      </c>
      <c r="B46" s="71" t="s">
        <v>171</v>
      </c>
      <c r="C46" s="46" t="s">
        <v>172</v>
      </c>
      <c r="D46" s="75" t="s">
        <v>53</v>
      </c>
      <c r="E46" s="74">
        <v>700</v>
      </c>
      <c r="F46" s="52">
        <v>700</v>
      </c>
      <c r="G46" s="50">
        <f t="shared" si="0"/>
        <v>52.5</v>
      </c>
      <c r="H46" s="50">
        <f t="shared" si="1"/>
        <v>99.749999999999986</v>
      </c>
      <c r="I46" s="51">
        <f t="shared" si="2"/>
        <v>0</v>
      </c>
      <c r="J46" s="52"/>
      <c r="K46" s="52">
        <v>0</v>
      </c>
      <c r="L46" s="53"/>
      <c r="M46" s="54">
        <f t="shared" si="3"/>
        <v>647.5</v>
      </c>
      <c r="N46" s="55">
        <f t="shared" si="4"/>
        <v>799.75</v>
      </c>
      <c r="O46" s="33" t="s">
        <v>54</v>
      </c>
      <c r="P46" s="60" t="s">
        <v>171</v>
      </c>
      <c r="Q46" s="60" t="s">
        <v>172</v>
      </c>
      <c r="R46" s="61" t="s">
        <v>59</v>
      </c>
      <c r="S46" s="62">
        <v>329111</v>
      </c>
      <c r="T46" s="60" t="s">
        <v>56</v>
      </c>
    </row>
    <row r="47" spans="1:20" x14ac:dyDescent="0.2">
      <c r="A47" s="45">
        <v>43</v>
      </c>
      <c r="B47" s="71" t="s">
        <v>173</v>
      </c>
      <c r="C47" s="46" t="s">
        <v>174</v>
      </c>
      <c r="D47" s="75" t="s">
        <v>175</v>
      </c>
      <c r="E47" s="74">
        <v>2300</v>
      </c>
      <c r="F47" s="52">
        <v>2300</v>
      </c>
      <c r="G47" s="50">
        <f t="shared" si="0"/>
        <v>172.5</v>
      </c>
      <c r="H47" s="50">
        <f t="shared" si="1"/>
        <v>327.75</v>
      </c>
      <c r="I47" s="51">
        <f t="shared" si="2"/>
        <v>185</v>
      </c>
      <c r="J47" s="52"/>
      <c r="K47" s="52">
        <v>0</v>
      </c>
      <c r="L47" s="53"/>
      <c r="M47" s="54">
        <f t="shared" si="3"/>
        <v>1942.5</v>
      </c>
      <c r="N47" s="55">
        <f t="shared" si="4"/>
        <v>2627.75</v>
      </c>
      <c r="O47" s="33" t="s">
        <v>54</v>
      </c>
      <c r="P47" s="60" t="s">
        <v>176</v>
      </c>
      <c r="Q47" s="60" t="s">
        <v>174</v>
      </c>
      <c r="R47" s="61" t="s">
        <v>59</v>
      </c>
      <c r="S47" s="62">
        <v>111111</v>
      </c>
      <c r="T47" s="60" t="s">
        <v>177</v>
      </c>
    </row>
    <row r="48" spans="1:20" x14ac:dyDescent="0.2">
      <c r="A48" s="45">
        <v>44</v>
      </c>
      <c r="B48" s="71" t="s">
        <v>178</v>
      </c>
      <c r="C48" s="46" t="s">
        <v>179</v>
      </c>
      <c r="D48" s="76" t="s">
        <v>180</v>
      </c>
      <c r="E48" s="74">
        <v>480</v>
      </c>
      <c r="F48" s="52">
        <v>480</v>
      </c>
      <c r="G48" s="50">
        <f t="shared" si="0"/>
        <v>36</v>
      </c>
      <c r="H48" s="50">
        <f t="shared" si="1"/>
        <v>68.399999999999991</v>
      </c>
      <c r="I48" s="51">
        <f t="shared" si="2"/>
        <v>0</v>
      </c>
      <c r="J48" s="52"/>
      <c r="K48" s="52">
        <v>0</v>
      </c>
      <c r="L48" s="53"/>
      <c r="M48" s="54">
        <f t="shared" si="3"/>
        <v>444</v>
      </c>
      <c r="N48" s="55">
        <f t="shared" si="4"/>
        <v>548.4</v>
      </c>
      <c r="O48" s="33" t="s">
        <v>54</v>
      </c>
      <c r="P48" s="60" t="s">
        <v>178</v>
      </c>
      <c r="Q48" s="60" t="s">
        <v>179</v>
      </c>
      <c r="R48" s="61" t="s">
        <v>59</v>
      </c>
      <c r="S48" s="62">
        <v>329111</v>
      </c>
      <c r="T48" s="60" t="s">
        <v>56</v>
      </c>
    </row>
    <row r="49" spans="1:22" ht="15" thickBot="1" x14ac:dyDescent="0.25">
      <c r="A49" s="45">
        <v>45</v>
      </c>
      <c r="B49" s="71" t="s">
        <v>181</v>
      </c>
      <c r="C49" s="46" t="s">
        <v>182</v>
      </c>
      <c r="D49" s="76" t="s">
        <v>183</v>
      </c>
      <c r="E49" s="74">
        <v>2000</v>
      </c>
      <c r="F49" s="52">
        <v>2000</v>
      </c>
      <c r="G49" s="50">
        <f t="shared" si="0"/>
        <v>150</v>
      </c>
      <c r="H49" s="50">
        <f t="shared" si="1"/>
        <v>285</v>
      </c>
      <c r="I49" s="51">
        <f t="shared" si="2"/>
        <v>125</v>
      </c>
      <c r="J49" s="52"/>
      <c r="K49" s="52">
        <v>0</v>
      </c>
      <c r="L49" s="53"/>
      <c r="M49" s="54">
        <f t="shared" si="3"/>
        <v>1725</v>
      </c>
      <c r="N49" s="55">
        <f t="shared" si="4"/>
        <v>2285</v>
      </c>
      <c r="O49" s="33" t="s">
        <v>54</v>
      </c>
      <c r="P49" s="60" t="s">
        <v>181</v>
      </c>
      <c r="Q49" s="60" t="s">
        <v>182</v>
      </c>
      <c r="R49" s="61" t="s">
        <v>59</v>
      </c>
      <c r="S49" s="62">
        <v>323111</v>
      </c>
      <c r="T49" s="60" t="s">
        <v>56</v>
      </c>
    </row>
    <row r="50" spans="1:22" x14ac:dyDescent="0.2">
      <c r="A50" s="63">
        <v>46</v>
      </c>
      <c r="B50" s="71" t="s">
        <v>184</v>
      </c>
      <c r="C50" s="46" t="s">
        <v>185</v>
      </c>
      <c r="D50" s="75" t="s">
        <v>186</v>
      </c>
      <c r="E50" s="74">
        <v>816</v>
      </c>
      <c r="F50" s="52">
        <v>816</v>
      </c>
      <c r="G50" s="50">
        <f t="shared" si="0"/>
        <v>61.199999999999996</v>
      </c>
      <c r="H50" s="50">
        <f t="shared" si="1"/>
        <v>116.27999999999999</v>
      </c>
      <c r="I50" s="51">
        <f t="shared" si="2"/>
        <v>3.3000000000000003</v>
      </c>
      <c r="J50" s="52"/>
      <c r="K50" s="52">
        <v>0</v>
      </c>
      <c r="L50" s="53"/>
      <c r="M50" s="54">
        <f t="shared" si="3"/>
        <v>751.5</v>
      </c>
      <c r="N50" s="55">
        <f t="shared" si="4"/>
        <v>932.28</v>
      </c>
      <c r="O50" s="33" t="s">
        <v>54</v>
      </c>
      <c r="P50" s="60" t="s">
        <v>184</v>
      </c>
      <c r="Q50" s="60" t="s">
        <v>185</v>
      </c>
      <c r="R50" s="61" t="s">
        <v>59</v>
      </c>
      <c r="S50" s="62">
        <v>329111</v>
      </c>
      <c r="T50" s="60" t="s">
        <v>56</v>
      </c>
    </row>
    <row r="51" spans="1:22" x14ac:dyDescent="0.2">
      <c r="A51" s="45">
        <v>47</v>
      </c>
      <c r="B51" s="71" t="s">
        <v>187</v>
      </c>
      <c r="C51" s="46" t="s">
        <v>188</v>
      </c>
      <c r="D51" s="75" t="s">
        <v>189</v>
      </c>
      <c r="E51" s="74">
        <v>600</v>
      </c>
      <c r="F51" s="52">
        <v>600</v>
      </c>
      <c r="G51" s="50">
        <f t="shared" si="0"/>
        <v>45</v>
      </c>
      <c r="H51" s="50">
        <f t="shared" si="1"/>
        <v>85.499999999999986</v>
      </c>
      <c r="I51" s="51">
        <f t="shared" si="2"/>
        <v>0</v>
      </c>
      <c r="J51" s="52"/>
      <c r="K51" s="52">
        <v>0</v>
      </c>
      <c r="L51" s="53"/>
      <c r="M51" s="54">
        <f t="shared" si="3"/>
        <v>555</v>
      </c>
      <c r="N51" s="55">
        <f t="shared" si="4"/>
        <v>685.5</v>
      </c>
      <c r="O51" s="33" t="s">
        <v>54</v>
      </c>
      <c r="P51" s="60" t="s">
        <v>187</v>
      </c>
      <c r="Q51" s="60" t="s">
        <v>188</v>
      </c>
      <c r="R51" s="61" t="s">
        <v>59</v>
      </c>
      <c r="S51" s="62">
        <v>131111</v>
      </c>
      <c r="T51" s="60" t="s">
        <v>164</v>
      </c>
    </row>
    <row r="52" spans="1:22" x14ac:dyDescent="0.2">
      <c r="A52" s="45">
        <v>48</v>
      </c>
      <c r="B52" s="71" t="s">
        <v>190</v>
      </c>
      <c r="C52" s="46" t="s">
        <v>191</v>
      </c>
      <c r="D52" s="75" t="s">
        <v>186</v>
      </c>
      <c r="E52" s="74">
        <v>900</v>
      </c>
      <c r="F52" s="52">
        <v>900</v>
      </c>
      <c r="G52" s="50">
        <f t="shared" si="0"/>
        <v>67.5</v>
      </c>
      <c r="H52" s="50">
        <f t="shared" si="1"/>
        <v>128.25</v>
      </c>
      <c r="I52" s="51">
        <f t="shared" si="2"/>
        <v>7.5</v>
      </c>
      <c r="J52" s="52"/>
      <c r="K52" s="52">
        <v>0</v>
      </c>
      <c r="L52" s="53"/>
      <c r="M52" s="54">
        <f t="shared" si="3"/>
        <v>825</v>
      </c>
      <c r="N52" s="55">
        <f t="shared" si="4"/>
        <v>1028.25</v>
      </c>
      <c r="O52" s="33" t="s">
        <v>54</v>
      </c>
      <c r="P52" s="60" t="s">
        <v>190</v>
      </c>
      <c r="Q52" s="60" t="s">
        <v>191</v>
      </c>
      <c r="R52" s="61" t="s">
        <v>59</v>
      </c>
      <c r="S52" s="62">
        <v>329111</v>
      </c>
      <c r="T52" s="60" t="s">
        <v>56</v>
      </c>
    </row>
    <row r="53" spans="1:22" x14ac:dyDescent="0.2">
      <c r="A53" s="45">
        <v>49</v>
      </c>
      <c r="B53" s="71" t="s">
        <v>192</v>
      </c>
      <c r="C53" s="46" t="s">
        <v>193</v>
      </c>
      <c r="D53" s="75" t="s">
        <v>194</v>
      </c>
      <c r="E53" s="74">
        <v>1843</v>
      </c>
      <c r="F53" s="52">
        <v>1843</v>
      </c>
      <c r="G53" s="50">
        <f t="shared" si="0"/>
        <v>138.22499999999999</v>
      </c>
      <c r="H53" s="50">
        <f t="shared" si="1"/>
        <v>262.6275</v>
      </c>
      <c r="I53" s="51">
        <f t="shared" si="2"/>
        <v>101.45</v>
      </c>
      <c r="J53" s="52"/>
      <c r="K53" s="52">
        <v>0</v>
      </c>
      <c r="L53" s="53"/>
      <c r="M53" s="54">
        <f t="shared" si="3"/>
        <v>1603.325</v>
      </c>
      <c r="N53" s="55">
        <f t="shared" si="4"/>
        <v>2105.6275000000001</v>
      </c>
      <c r="O53" s="33" t="s">
        <v>54</v>
      </c>
      <c r="P53" s="60" t="s">
        <v>192</v>
      </c>
      <c r="Q53" s="60" t="s">
        <v>193</v>
      </c>
      <c r="R53" s="61" t="s">
        <v>59</v>
      </c>
      <c r="S53" s="62">
        <v>323111</v>
      </c>
      <c r="T53" s="60" t="s">
        <v>56</v>
      </c>
    </row>
    <row r="54" spans="1:22" x14ac:dyDescent="0.2">
      <c r="A54" s="45">
        <v>50</v>
      </c>
      <c r="B54" s="71" t="s">
        <v>195</v>
      </c>
      <c r="C54" s="46" t="s">
        <v>196</v>
      </c>
      <c r="D54" s="75" t="s">
        <v>186</v>
      </c>
      <c r="E54" s="74">
        <v>945</v>
      </c>
      <c r="F54" s="52">
        <v>945</v>
      </c>
      <c r="G54" s="50">
        <f t="shared" si="0"/>
        <v>70.875</v>
      </c>
      <c r="H54" s="50">
        <f t="shared" si="1"/>
        <v>134.66249999999999</v>
      </c>
      <c r="I54" s="51">
        <f t="shared" si="2"/>
        <v>9.75</v>
      </c>
      <c r="J54" s="52"/>
      <c r="K54" s="52">
        <v>0</v>
      </c>
      <c r="L54" s="53"/>
      <c r="M54" s="54">
        <f t="shared" si="3"/>
        <v>864.375</v>
      </c>
      <c r="N54" s="55">
        <f t="shared" si="4"/>
        <v>1079.6624999999999</v>
      </c>
      <c r="O54" s="33" t="s">
        <v>54</v>
      </c>
      <c r="P54" s="60" t="s">
        <v>195</v>
      </c>
      <c r="Q54" s="60" t="s">
        <v>196</v>
      </c>
      <c r="R54" s="61" t="s">
        <v>59</v>
      </c>
      <c r="S54" s="62">
        <v>329111</v>
      </c>
      <c r="T54" s="60" t="s">
        <v>56</v>
      </c>
    </row>
    <row r="55" spans="1:22" ht="15" thickBot="1" x14ac:dyDescent="0.25">
      <c r="A55" s="45">
        <v>51</v>
      </c>
      <c r="B55" s="71" t="s">
        <v>197</v>
      </c>
      <c r="C55" s="46" t="s">
        <v>198</v>
      </c>
      <c r="D55" s="75" t="s">
        <v>199</v>
      </c>
      <c r="E55" s="74">
        <v>1420</v>
      </c>
      <c r="F55" s="52">
        <v>1420</v>
      </c>
      <c r="G55" s="50">
        <f t="shared" si="0"/>
        <v>106.5</v>
      </c>
      <c r="H55" s="50">
        <f t="shared" si="1"/>
        <v>202.35</v>
      </c>
      <c r="I55" s="51">
        <f t="shared" si="2"/>
        <v>46.166666666666664</v>
      </c>
      <c r="J55" s="52"/>
      <c r="K55" s="52">
        <v>0</v>
      </c>
      <c r="L55" s="53"/>
      <c r="M55" s="54">
        <f t="shared" si="3"/>
        <v>1267.3333333333333</v>
      </c>
      <c r="N55" s="55">
        <f t="shared" si="4"/>
        <v>1622.35</v>
      </c>
      <c r="O55" s="33" t="s">
        <v>54</v>
      </c>
      <c r="P55" s="60" t="s">
        <v>197</v>
      </c>
      <c r="Q55" s="60" t="s">
        <v>198</v>
      </c>
      <c r="R55" s="61" t="s">
        <v>55</v>
      </c>
      <c r="S55" s="62">
        <v>323111</v>
      </c>
      <c r="T55" s="60" t="s">
        <v>56</v>
      </c>
    </row>
    <row r="56" spans="1:22" x14ac:dyDescent="0.2">
      <c r="A56" s="63">
        <v>52</v>
      </c>
      <c r="B56" s="71" t="s">
        <v>200</v>
      </c>
      <c r="C56" s="46" t="s">
        <v>201</v>
      </c>
      <c r="D56" s="75" t="s">
        <v>133</v>
      </c>
      <c r="E56" s="74">
        <v>1846</v>
      </c>
      <c r="F56" s="74">
        <v>1846</v>
      </c>
      <c r="G56" s="50">
        <f t="shared" si="0"/>
        <v>138.44999999999999</v>
      </c>
      <c r="H56" s="50">
        <f t="shared" si="1"/>
        <v>263.05499999999995</v>
      </c>
      <c r="I56" s="51">
        <f t="shared" si="2"/>
        <v>17.3</v>
      </c>
      <c r="J56" s="52"/>
      <c r="K56" s="52">
        <v>0</v>
      </c>
      <c r="L56" s="53"/>
      <c r="M56" s="54">
        <f t="shared" si="3"/>
        <v>1690.25</v>
      </c>
      <c r="N56" s="55">
        <f t="shared" si="4"/>
        <v>2109.0549999999998</v>
      </c>
      <c r="O56" s="33" t="s">
        <v>69</v>
      </c>
      <c r="P56" s="60" t="s">
        <v>200</v>
      </c>
      <c r="Q56" s="60" t="s">
        <v>201</v>
      </c>
      <c r="R56" s="61" t="s">
        <v>59</v>
      </c>
      <c r="S56" s="62">
        <v>323111</v>
      </c>
      <c r="T56" s="60" t="s">
        <v>56</v>
      </c>
    </row>
    <row r="57" spans="1:22" x14ac:dyDescent="0.2">
      <c r="A57" s="45">
        <v>53</v>
      </c>
      <c r="B57" s="71" t="s">
        <v>202</v>
      </c>
      <c r="C57" s="46" t="s">
        <v>203</v>
      </c>
      <c r="D57" s="76" t="s">
        <v>204</v>
      </c>
      <c r="E57" s="74">
        <v>320</v>
      </c>
      <c r="F57" s="52">
        <v>320</v>
      </c>
      <c r="G57" s="50">
        <f t="shared" si="0"/>
        <v>24</v>
      </c>
      <c r="H57" s="50">
        <f t="shared" si="1"/>
        <v>45.599999999999994</v>
      </c>
      <c r="I57" s="51">
        <f t="shared" si="2"/>
        <v>0</v>
      </c>
      <c r="J57" s="52"/>
      <c r="K57" s="52">
        <v>0</v>
      </c>
      <c r="L57" s="53"/>
      <c r="M57" s="54">
        <f t="shared" si="3"/>
        <v>296</v>
      </c>
      <c r="N57" s="55">
        <f t="shared" si="4"/>
        <v>365.6</v>
      </c>
      <c r="O57" s="33" t="s">
        <v>54</v>
      </c>
      <c r="P57" s="60" t="s">
        <v>202</v>
      </c>
      <c r="Q57" s="60" t="s">
        <v>203</v>
      </c>
      <c r="R57" s="61" t="s">
        <v>59</v>
      </c>
      <c r="S57" s="77">
        <v>326111</v>
      </c>
      <c r="T57" s="60" t="s">
        <v>56</v>
      </c>
    </row>
    <row r="58" spans="1:22" x14ac:dyDescent="0.2">
      <c r="A58" s="45">
        <v>54</v>
      </c>
      <c r="B58" s="71" t="s">
        <v>205</v>
      </c>
      <c r="C58" s="46" t="s">
        <v>206</v>
      </c>
      <c r="D58" s="78" t="s">
        <v>207</v>
      </c>
      <c r="E58" s="79">
        <v>1562</v>
      </c>
      <c r="F58" s="52">
        <v>1562</v>
      </c>
      <c r="G58" s="50">
        <f t="shared" si="0"/>
        <v>117.14999999999999</v>
      </c>
      <c r="H58" s="50">
        <f t="shared" si="1"/>
        <v>222.58499999999998</v>
      </c>
      <c r="I58" s="51">
        <f t="shared" si="2"/>
        <v>60.366666666666674</v>
      </c>
      <c r="J58" s="52"/>
      <c r="K58" s="52">
        <v>0</v>
      </c>
      <c r="L58" s="53"/>
      <c r="M58" s="54">
        <f t="shared" si="3"/>
        <v>1384.4833333333333</v>
      </c>
      <c r="N58" s="55">
        <f t="shared" si="4"/>
        <v>1784.585</v>
      </c>
      <c r="O58" s="33" t="s">
        <v>54</v>
      </c>
      <c r="P58" s="60" t="s">
        <v>205</v>
      </c>
      <c r="Q58" s="60" t="s">
        <v>206</v>
      </c>
      <c r="R58" s="61" t="s">
        <v>59</v>
      </c>
      <c r="S58" s="77">
        <v>329111</v>
      </c>
      <c r="T58" s="60" t="s">
        <v>56</v>
      </c>
      <c r="U58">
        <v>1948.9433333333334</v>
      </c>
      <c r="V58">
        <f>U58-M58</f>
        <v>564.46</v>
      </c>
    </row>
    <row r="59" spans="1:22" x14ac:dyDescent="0.2">
      <c r="A59" s="45">
        <v>55</v>
      </c>
      <c r="B59" s="71" t="s">
        <v>208</v>
      </c>
      <c r="C59" s="46" t="s">
        <v>209</v>
      </c>
      <c r="D59" s="76" t="s">
        <v>210</v>
      </c>
      <c r="E59" s="74">
        <v>2980</v>
      </c>
      <c r="F59" s="52">
        <v>2980</v>
      </c>
      <c r="G59" s="50">
        <f t="shared" si="0"/>
        <v>223.5</v>
      </c>
      <c r="H59" s="50">
        <f t="shared" si="1"/>
        <v>424.65</v>
      </c>
      <c r="I59" s="51">
        <f t="shared" si="2"/>
        <v>171</v>
      </c>
      <c r="J59" s="52"/>
      <c r="K59" s="52">
        <v>0</v>
      </c>
      <c r="L59" s="53"/>
      <c r="M59" s="54">
        <f t="shared" si="3"/>
        <v>2585.5</v>
      </c>
      <c r="N59" s="55">
        <f t="shared" si="4"/>
        <v>3404.65</v>
      </c>
      <c r="O59" s="33" t="s">
        <v>69</v>
      </c>
      <c r="P59" s="60" t="s">
        <v>208</v>
      </c>
      <c r="Q59" s="60" t="s">
        <v>209</v>
      </c>
      <c r="R59" s="61" t="s">
        <v>59</v>
      </c>
      <c r="S59" s="77">
        <v>329111</v>
      </c>
      <c r="T59" s="60" t="s">
        <v>56</v>
      </c>
    </row>
    <row r="60" spans="1:22" x14ac:dyDescent="0.2">
      <c r="A60" s="45">
        <v>56</v>
      </c>
      <c r="B60" s="71" t="s">
        <v>211</v>
      </c>
      <c r="C60" s="46" t="s">
        <v>212</v>
      </c>
      <c r="D60" s="76" t="s">
        <v>213</v>
      </c>
      <c r="E60" s="74">
        <v>1350</v>
      </c>
      <c r="F60" s="52">
        <v>1350</v>
      </c>
      <c r="G60" s="50">
        <f t="shared" si="0"/>
        <v>101.25</v>
      </c>
      <c r="H60" s="50">
        <f t="shared" si="1"/>
        <v>192.37499999999997</v>
      </c>
      <c r="I60" s="51">
        <f t="shared" si="2"/>
        <v>39.166666666666664</v>
      </c>
      <c r="J60" s="52"/>
      <c r="K60" s="52">
        <v>0</v>
      </c>
      <c r="L60" s="53"/>
      <c r="M60" s="54">
        <f t="shared" si="3"/>
        <v>1209.5833333333333</v>
      </c>
      <c r="N60" s="55">
        <f t="shared" si="4"/>
        <v>1542.375</v>
      </c>
      <c r="O60" s="33" t="s">
        <v>54</v>
      </c>
      <c r="P60" s="60" t="s">
        <v>211</v>
      </c>
      <c r="Q60" s="60" t="s">
        <v>212</v>
      </c>
      <c r="R60" s="61" t="s">
        <v>59</v>
      </c>
      <c r="S60" s="77">
        <v>329111</v>
      </c>
      <c r="T60" s="60" t="s">
        <v>56</v>
      </c>
    </row>
    <row r="61" spans="1:22" ht="15" thickBot="1" x14ac:dyDescent="0.25">
      <c r="A61" s="45">
        <v>57</v>
      </c>
      <c r="B61" s="71" t="s">
        <v>214</v>
      </c>
      <c r="C61" s="46" t="s">
        <v>215</v>
      </c>
      <c r="D61" s="76" t="s">
        <v>216</v>
      </c>
      <c r="E61" s="74">
        <v>1846</v>
      </c>
      <c r="F61" s="52">
        <v>1846</v>
      </c>
      <c r="G61" s="50">
        <f t="shared" si="0"/>
        <v>138.44999999999999</v>
      </c>
      <c r="H61" s="50">
        <f t="shared" si="1"/>
        <v>263.05499999999995</v>
      </c>
      <c r="I61" s="51">
        <f t="shared" si="2"/>
        <v>101.89999999999999</v>
      </c>
      <c r="J61" s="52"/>
      <c r="K61" s="52">
        <v>0</v>
      </c>
      <c r="L61" s="53"/>
      <c r="M61" s="54">
        <f t="shared" si="3"/>
        <v>1605.65</v>
      </c>
      <c r="N61" s="55">
        <f t="shared" si="4"/>
        <v>2109.0549999999998</v>
      </c>
      <c r="O61" s="33" t="s">
        <v>54</v>
      </c>
      <c r="P61" s="60" t="s">
        <v>214</v>
      </c>
      <c r="Q61" s="60" t="s">
        <v>215</v>
      </c>
      <c r="R61" s="61" t="s">
        <v>55</v>
      </c>
      <c r="S61" s="77">
        <v>325311</v>
      </c>
      <c r="T61" s="60" t="s">
        <v>56</v>
      </c>
    </row>
    <row r="62" spans="1:22" x14ac:dyDescent="0.2">
      <c r="A62" s="63">
        <v>58</v>
      </c>
      <c r="B62" s="71" t="s">
        <v>217</v>
      </c>
      <c r="C62" s="46" t="s">
        <v>218</v>
      </c>
      <c r="D62" s="76" t="s">
        <v>219</v>
      </c>
      <c r="E62" s="74">
        <v>1275</v>
      </c>
      <c r="F62" s="52">
        <v>1275</v>
      </c>
      <c r="G62" s="50">
        <f t="shared" si="0"/>
        <v>95.625</v>
      </c>
      <c r="H62" s="50">
        <f t="shared" si="1"/>
        <v>181.68749999999997</v>
      </c>
      <c r="I62" s="51">
        <f t="shared" si="2"/>
        <v>31.666666666666668</v>
      </c>
      <c r="J62" s="52"/>
      <c r="K62" s="52">
        <v>0</v>
      </c>
      <c r="L62" s="53"/>
      <c r="M62" s="54">
        <f t="shared" si="3"/>
        <v>1147.7083333333333</v>
      </c>
      <c r="N62" s="55">
        <f t="shared" si="4"/>
        <v>1456.6875</v>
      </c>
      <c r="O62" s="33" t="s">
        <v>54</v>
      </c>
      <c r="P62" s="60" t="s">
        <v>217</v>
      </c>
      <c r="Q62" s="60" t="s">
        <v>218</v>
      </c>
      <c r="R62" s="61" t="s">
        <v>55</v>
      </c>
      <c r="S62" s="77">
        <v>325311</v>
      </c>
      <c r="T62" s="60" t="s">
        <v>56</v>
      </c>
    </row>
    <row r="63" spans="1:22" x14ac:dyDescent="0.2">
      <c r="A63" s="45">
        <v>59</v>
      </c>
      <c r="B63" s="71" t="s">
        <v>220</v>
      </c>
      <c r="C63" s="46" t="s">
        <v>221</v>
      </c>
      <c r="D63" s="76" t="s">
        <v>222</v>
      </c>
      <c r="E63" s="74">
        <v>2485</v>
      </c>
      <c r="F63" s="52">
        <v>2485</v>
      </c>
      <c r="G63" s="50">
        <f t="shared" si="0"/>
        <v>186.375</v>
      </c>
      <c r="H63" s="50">
        <f t="shared" si="1"/>
        <v>354.11249999999995</v>
      </c>
      <c r="I63" s="51">
        <f t="shared" si="2"/>
        <v>225.41666666666666</v>
      </c>
      <c r="J63" s="52"/>
      <c r="K63" s="52">
        <v>0</v>
      </c>
      <c r="L63" s="53"/>
      <c r="M63" s="54">
        <f t="shared" si="3"/>
        <v>2073.2083333333335</v>
      </c>
      <c r="N63" s="55">
        <f t="shared" si="4"/>
        <v>2839.1125000000002</v>
      </c>
      <c r="O63" s="33" t="s">
        <v>54</v>
      </c>
      <c r="P63" s="60" t="s">
        <v>220</v>
      </c>
      <c r="Q63" s="60" t="s">
        <v>221</v>
      </c>
      <c r="R63" s="61" t="s">
        <v>223</v>
      </c>
      <c r="S63" s="77">
        <v>323111</v>
      </c>
      <c r="T63" s="60" t="s">
        <v>56</v>
      </c>
    </row>
    <row r="64" spans="1:22" x14ac:dyDescent="0.2">
      <c r="A64" s="45">
        <v>60</v>
      </c>
      <c r="B64" s="71" t="s">
        <v>224</v>
      </c>
      <c r="C64" s="46" t="s">
        <v>225</v>
      </c>
      <c r="D64" s="76" t="s">
        <v>226</v>
      </c>
      <c r="E64" s="74">
        <v>530</v>
      </c>
      <c r="F64" s="52">
        <v>530</v>
      </c>
      <c r="G64" s="50">
        <f t="shared" si="0"/>
        <v>39.75</v>
      </c>
      <c r="H64" s="50">
        <f t="shared" si="1"/>
        <v>75.524999999999991</v>
      </c>
      <c r="I64" s="51">
        <f t="shared" si="2"/>
        <v>0</v>
      </c>
      <c r="J64" s="52"/>
      <c r="K64" s="52">
        <v>0</v>
      </c>
      <c r="L64" s="53"/>
      <c r="M64" s="54">
        <f t="shared" si="3"/>
        <v>490.25</v>
      </c>
      <c r="N64" s="55">
        <f t="shared" si="4"/>
        <v>605.52499999999998</v>
      </c>
      <c r="O64" s="33" t="s">
        <v>54</v>
      </c>
      <c r="P64" s="60" t="s">
        <v>224</v>
      </c>
      <c r="Q64" s="60" t="s">
        <v>225</v>
      </c>
      <c r="R64" s="61" t="s">
        <v>55</v>
      </c>
      <c r="S64" s="77">
        <v>323111</v>
      </c>
      <c r="T64" s="60" t="s">
        <v>56</v>
      </c>
    </row>
    <row r="65" spans="1:20" x14ac:dyDescent="0.2">
      <c r="A65" s="45">
        <v>61</v>
      </c>
      <c r="B65" s="71" t="s">
        <v>227</v>
      </c>
      <c r="C65" s="46" t="s">
        <v>228</v>
      </c>
      <c r="D65" s="76" t="s">
        <v>229</v>
      </c>
      <c r="E65" s="74">
        <v>2600</v>
      </c>
      <c r="F65" s="52">
        <v>2600</v>
      </c>
      <c r="G65" s="50">
        <f t="shared" si="0"/>
        <v>195</v>
      </c>
      <c r="H65" s="50">
        <f t="shared" si="1"/>
        <v>370.49999999999994</v>
      </c>
      <c r="I65" s="51">
        <f t="shared" si="2"/>
        <v>254.16666666666666</v>
      </c>
      <c r="J65" s="52"/>
      <c r="K65" s="52">
        <v>0</v>
      </c>
      <c r="L65" s="53"/>
      <c r="M65" s="54">
        <f t="shared" si="3"/>
        <v>2150.8333333333335</v>
      </c>
      <c r="N65" s="55">
        <f t="shared" si="4"/>
        <v>2970.5</v>
      </c>
      <c r="O65" s="33" t="s">
        <v>54</v>
      </c>
      <c r="P65" s="60" t="s">
        <v>227</v>
      </c>
      <c r="Q65" s="60" t="s">
        <v>228</v>
      </c>
      <c r="R65" s="61" t="s">
        <v>55</v>
      </c>
      <c r="S65" s="77">
        <v>325311</v>
      </c>
      <c r="T65" s="60" t="s">
        <v>56</v>
      </c>
    </row>
    <row r="66" spans="1:20" x14ac:dyDescent="0.2">
      <c r="A66" s="45">
        <v>62</v>
      </c>
      <c r="B66" s="71" t="s">
        <v>230</v>
      </c>
      <c r="C66" s="46" t="s">
        <v>231</v>
      </c>
      <c r="D66" s="76" t="s">
        <v>232</v>
      </c>
      <c r="E66" s="74">
        <v>1100</v>
      </c>
      <c r="F66" s="52">
        <v>1100</v>
      </c>
      <c r="G66" s="50">
        <f t="shared" si="0"/>
        <v>82.5</v>
      </c>
      <c r="H66" s="50">
        <f t="shared" si="1"/>
        <v>156.75</v>
      </c>
      <c r="I66" s="51">
        <f t="shared" si="2"/>
        <v>17.5</v>
      </c>
      <c r="J66" s="52"/>
      <c r="K66" s="52">
        <v>0</v>
      </c>
      <c r="L66" s="53"/>
      <c r="M66" s="54">
        <f t="shared" si="3"/>
        <v>1000</v>
      </c>
      <c r="N66" s="55">
        <f t="shared" si="4"/>
        <v>1256.75</v>
      </c>
      <c r="O66" s="33" t="s">
        <v>54</v>
      </c>
      <c r="P66" s="60" t="s">
        <v>230</v>
      </c>
      <c r="Q66" s="60" t="s">
        <v>231</v>
      </c>
      <c r="R66" s="61"/>
      <c r="S66" s="77">
        <v>325311</v>
      </c>
      <c r="T66" s="60" t="s">
        <v>56</v>
      </c>
    </row>
    <row r="67" spans="1:20" ht="15" thickBot="1" x14ac:dyDescent="0.25">
      <c r="A67" s="45">
        <v>63</v>
      </c>
      <c r="B67" s="71" t="s">
        <v>233</v>
      </c>
      <c r="C67" s="46" t="s">
        <v>234</v>
      </c>
      <c r="D67" s="76" t="s">
        <v>204</v>
      </c>
      <c r="E67" s="80">
        <v>395</v>
      </c>
      <c r="F67" s="81">
        <v>395</v>
      </c>
      <c r="G67" s="50">
        <f t="shared" si="0"/>
        <v>29.625</v>
      </c>
      <c r="H67" s="50">
        <f t="shared" si="1"/>
        <v>56.287499999999994</v>
      </c>
      <c r="I67" s="51">
        <f t="shared" si="2"/>
        <v>0</v>
      </c>
      <c r="J67" s="52"/>
      <c r="K67" s="52">
        <v>0</v>
      </c>
      <c r="L67" s="53"/>
      <c r="M67" s="54">
        <f t="shared" si="3"/>
        <v>365.375</v>
      </c>
      <c r="N67" s="55">
        <f t="shared" si="4"/>
        <v>451.28750000000002</v>
      </c>
      <c r="O67" s="33" t="s">
        <v>54</v>
      </c>
      <c r="P67" s="60" t="s">
        <v>233</v>
      </c>
      <c r="Q67" s="60" t="s">
        <v>234</v>
      </c>
      <c r="R67" s="61"/>
      <c r="S67" s="77">
        <v>329111</v>
      </c>
      <c r="T67" s="60" t="s">
        <v>56</v>
      </c>
    </row>
    <row r="68" spans="1:20" x14ac:dyDescent="0.2">
      <c r="A68" s="63">
        <v>64</v>
      </c>
      <c r="B68" s="71" t="s">
        <v>235</v>
      </c>
      <c r="C68" s="46" t="s">
        <v>236</v>
      </c>
      <c r="D68" s="76" t="s">
        <v>204</v>
      </c>
      <c r="E68" s="80">
        <v>395</v>
      </c>
      <c r="F68" s="81">
        <v>395</v>
      </c>
      <c r="G68" s="50">
        <f t="shared" si="0"/>
        <v>29.625</v>
      </c>
      <c r="H68" s="50">
        <f t="shared" si="1"/>
        <v>56.287499999999994</v>
      </c>
      <c r="I68" s="51">
        <f t="shared" si="2"/>
        <v>0</v>
      </c>
      <c r="J68" s="52"/>
      <c r="K68" s="52">
        <v>0</v>
      </c>
      <c r="L68" s="53"/>
      <c r="M68" s="54">
        <f t="shared" si="3"/>
        <v>365.375</v>
      </c>
      <c r="N68" s="55">
        <f t="shared" si="4"/>
        <v>451.28750000000002</v>
      </c>
      <c r="O68" s="33" t="s">
        <v>54</v>
      </c>
      <c r="P68" s="60" t="s">
        <v>235</v>
      </c>
      <c r="Q68" s="60" t="s">
        <v>236</v>
      </c>
      <c r="R68" s="61"/>
      <c r="S68" s="77">
        <v>329111</v>
      </c>
      <c r="T68" s="60" t="s">
        <v>56</v>
      </c>
    </row>
    <row r="69" spans="1:20" x14ac:dyDescent="0.2">
      <c r="A69" s="45">
        <v>65</v>
      </c>
      <c r="B69" s="71" t="s">
        <v>237</v>
      </c>
      <c r="C69" s="46" t="s">
        <v>238</v>
      </c>
      <c r="D69" s="76" t="s">
        <v>239</v>
      </c>
      <c r="E69" s="74">
        <v>3000</v>
      </c>
      <c r="F69" s="52">
        <v>3000</v>
      </c>
      <c r="G69" s="50">
        <f t="shared" ref="G69:G94" si="5">E69*0.075</f>
        <v>225</v>
      </c>
      <c r="H69" s="50">
        <f t="shared" ref="H69:H94" si="6">E69*0.1425</f>
        <v>427.49999999999994</v>
      </c>
      <c r="I69" s="51">
        <f t="shared" ref="I69:I124" si="7">(IF((O69="No"),(IF((($F69*12)-9000)&lt;0,0,(IF((($F69*12)-9000)&gt;20000,(5000*5%+5000*10%+5000*15%+5000*20%+((($F69*12)-9000)-20000)*25%),IF((($F69*12)-9000)&gt;15000,(5000*5%+5000*10%+5000*15%+((($F69*12)-9000)-15000)*20%),IF((($F69*12)-9000)&gt;10000,(5000*5%+5000*10%+((($F69*12)-9000)-10000)*15%),IF((($F69*12)-9000)&gt;5000,(5000*5%+((($F69*12)-9000)-5000)*10%),IF((($F69*12)-9000)&lt;5000,(($F69*12)-9000)*5%)))))))),((IF((($F69*12)-18000)&lt;0,0,(IF((($F69*12)-18000)&gt;20000,(5000*5%+5000*10%+5000*15%+5000*20%+((($F69*12)-18000)-20000)*25%),IF((($F69*12)-18000)&gt;15000,(5000*5%+5000*10%+5000*15%+((($F69*12)-18000)-15000)*20%),IF((($F69*12)-18000)&gt;10000,(5000*5%+5000*10%+((($F69*12)-18000)-10000)*15%),IF((($F69*12)-18000)&gt;5000,(5000*5%+((($F69*12)-18000)-5000)*10%),IF((($F69*12)-18000)&lt;5000,(($F69*12)-18000)*5%))))))))))/12)</f>
        <v>175</v>
      </c>
      <c r="J69" s="52"/>
      <c r="K69" s="52">
        <v>0</v>
      </c>
      <c r="L69" s="53"/>
      <c r="M69" s="54">
        <f t="shared" ref="M69:M94" si="8">(F69+K69)-SUM(G69,I69,J69,L69)</f>
        <v>2600</v>
      </c>
      <c r="N69" s="55">
        <f t="shared" ref="N69:N116" si="9">F69+H69</f>
        <v>3427.5</v>
      </c>
      <c r="O69" s="33" t="s">
        <v>69</v>
      </c>
      <c r="P69" s="60" t="s">
        <v>237</v>
      </c>
      <c r="Q69" s="60" t="s">
        <v>238</v>
      </c>
      <c r="R69" s="61"/>
      <c r="S69" s="77">
        <v>323111</v>
      </c>
      <c r="T69" s="60" t="s">
        <v>240</v>
      </c>
    </row>
    <row r="70" spans="1:20" x14ac:dyDescent="0.2">
      <c r="A70" s="45">
        <v>66</v>
      </c>
      <c r="B70" s="71" t="s">
        <v>241</v>
      </c>
      <c r="C70" s="46" t="s">
        <v>242</v>
      </c>
      <c r="D70" s="76" t="s">
        <v>243</v>
      </c>
      <c r="E70" s="74">
        <v>1136</v>
      </c>
      <c r="F70" s="52">
        <v>1136</v>
      </c>
      <c r="G70" s="50">
        <f t="shared" si="5"/>
        <v>85.2</v>
      </c>
      <c r="H70" s="50">
        <f t="shared" si="6"/>
        <v>161.88</v>
      </c>
      <c r="I70" s="51">
        <f t="shared" si="7"/>
        <v>19.3</v>
      </c>
      <c r="J70" s="52"/>
      <c r="K70" s="52">
        <v>0</v>
      </c>
      <c r="L70" s="53"/>
      <c r="M70" s="54">
        <f t="shared" si="8"/>
        <v>1031.5</v>
      </c>
      <c r="N70" s="55">
        <f t="shared" si="9"/>
        <v>1297.8800000000001</v>
      </c>
      <c r="O70" s="33" t="s">
        <v>54</v>
      </c>
      <c r="P70" s="60" t="s">
        <v>241</v>
      </c>
      <c r="Q70" s="60" t="s">
        <v>242</v>
      </c>
      <c r="R70" s="61"/>
      <c r="S70" s="77">
        <v>327111</v>
      </c>
      <c r="T70" s="60" t="s">
        <v>56</v>
      </c>
    </row>
    <row r="71" spans="1:20" x14ac:dyDescent="0.2">
      <c r="A71" s="45">
        <v>67</v>
      </c>
      <c r="B71" s="71" t="s">
        <v>246</v>
      </c>
      <c r="C71" s="46" t="s">
        <v>247</v>
      </c>
      <c r="D71" s="76" t="s">
        <v>216</v>
      </c>
      <c r="E71" s="74">
        <v>1915</v>
      </c>
      <c r="F71" s="52">
        <v>1915</v>
      </c>
      <c r="G71" s="50">
        <f t="shared" si="5"/>
        <v>143.625</v>
      </c>
      <c r="H71" s="50">
        <f t="shared" si="6"/>
        <v>272.88749999999999</v>
      </c>
      <c r="I71" s="51">
        <f t="shared" si="7"/>
        <v>20.75</v>
      </c>
      <c r="J71" s="52"/>
      <c r="K71" s="52">
        <v>0</v>
      </c>
      <c r="L71" s="53"/>
      <c r="M71" s="54">
        <f t="shared" si="8"/>
        <v>1750.625</v>
      </c>
      <c r="N71" s="55">
        <f t="shared" si="9"/>
        <v>2187.8874999999998</v>
      </c>
      <c r="O71" s="33" t="s">
        <v>69</v>
      </c>
      <c r="P71" s="60" t="s">
        <v>246</v>
      </c>
      <c r="Q71" s="60" t="s">
        <v>247</v>
      </c>
      <c r="R71" s="61"/>
      <c r="S71" s="77">
        <v>325311</v>
      </c>
      <c r="T71" s="60" t="s">
        <v>56</v>
      </c>
    </row>
    <row r="72" spans="1:20" x14ac:dyDescent="0.2">
      <c r="A72" s="45">
        <v>68</v>
      </c>
      <c r="B72" s="84" t="s">
        <v>248</v>
      </c>
      <c r="C72" s="46" t="s">
        <v>249</v>
      </c>
      <c r="D72" s="76" t="s">
        <v>250</v>
      </c>
      <c r="E72" s="74">
        <v>1207</v>
      </c>
      <c r="F72" s="52">
        <v>1207</v>
      </c>
      <c r="G72" s="50">
        <f t="shared" si="5"/>
        <v>90.524999999999991</v>
      </c>
      <c r="H72" s="50">
        <f t="shared" si="6"/>
        <v>171.99749999999997</v>
      </c>
      <c r="I72" s="51">
        <f t="shared" si="7"/>
        <v>24.866666666666664</v>
      </c>
      <c r="J72" s="52"/>
      <c r="K72" s="52">
        <v>0</v>
      </c>
      <c r="L72" s="53"/>
      <c r="M72" s="54">
        <f t="shared" si="8"/>
        <v>1091.6083333333333</v>
      </c>
      <c r="N72" s="55">
        <f t="shared" si="9"/>
        <v>1378.9974999999999</v>
      </c>
      <c r="O72" s="33" t="s">
        <v>54</v>
      </c>
      <c r="P72" s="60" t="s">
        <v>248</v>
      </c>
      <c r="Q72" s="60" t="s">
        <v>249</v>
      </c>
      <c r="R72" s="85"/>
      <c r="S72" s="58">
        <v>325411</v>
      </c>
      <c r="T72" s="56" t="s">
        <v>56</v>
      </c>
    </row>
    <row r="73" spans="1:20" ht="15" thickBot="1" x14ac:dyDescent="0.25">
      <c r="A73" s="45">
        <v>69</v>
      </c>
      <c r="B73" s="84" t="s">
        <v>251</v>
      </c>
      <c r="C73" s="46" t="s">
        <v>252</v>
      </c>
      <c r="D73" s="76" t="s">
        <v>253</v>
      </c>
      <c r="E73" s="74">
        <v>1560</v>
      </c>
      <c r="F73" s="52">
        <v>1560</v>
      </c>
      <c r="G73" s="50">
        <f t="shared" si="5"/>
        <v>117</v>
      </c>
      <c r="H73" s="50">
        <f t="shared" si="6"/>
        <v>222.29999999999998</v>
      </c>
      <c r="I73" s="51">
        <f t="shared" si="7"/>
        <v>60.166666666666664</v>
      </c>
      <c r="J73" s="52"/>
      <c r="K73" s="52">
        <v>0</v>
      </c>
      <c r="L73" s="53"/>
      <c r="M73" s="54">
        <f t="shared" si="8"/>
        <v>1382.8333333333333</v>
      </c>
      <c r="N73" s="55">
        <f t="shared" si="9"/>
        <v>1782.3</v>
      </c>
      <c r="O73" s="33" t="s">
        <v>54</v>
      </c>
      <c r="P73" s="60" t="s">
        <v>251</v>
      </c>
      <c r="Q73" s="60" t="s">
        <v>252</v>
      </c>
      <c r="R73" s="85"/>
      <c r="S73" s="62">
        <v>318223</v>
      </c>
      <c r="T73" s="60" t="s">
        <v>254</v>
      </c>
    </row>
    <row r="74" spans="1:20" x14ac:dyDescent="0.2">
      <c r="A74" s="63">
        <v>70</v>
      </c>
      <c r="B74" s="84" t="s">
        <v>255</v>
      </c>
      <c r="C74" s="46" t="s">
        <v>256</v>
      </c>
      <c r="D74" s="76" t="s">
        <v>257</v>
      </c>
      <c r="E74" s="74">
        <v>2500</v>
      </c>
      <c r="F74" s="52">
        <v>2500</v>
      </c>
      <c r="G74" s="50">
        <f t="shared" si="5"/>
        <v>187.5</v>
      </c>
      <c r="H74" s="50">
        <f t="shared" si="6"/>
        <v>356.24999999999994</v>
      </c>
      <c r="I74" s="51">
        <f t="shared" si="7"/>
        <v>87.5</v>
      </c>
      <c r="J74" s="52"/>
      <c r="K74" s="52">
        <v>0</v>
      </c>
      <c r="L74" s="53"/>
      <c r="M74" s="54">
        <f t="shared" si="8"/>
        <v>2225</v>
      </c>
      <c r="N74" s="55">
        <f t="shared" si="9"/>
        <v>2856.25</v>
      </c>
      <c r="O74" s="33" t="s">
        <v>69</v>
      </c>
      <c r="P74" s="60" t="s">
        <v>255</v>
      </c>
      <c r="Q74" s="60" t="s">
        <v>256</v>
      </c>
      <c r="R74" s="85"/>
      <c r="S74" s="62">
        <v>323111</v>
      </c>
      <c r="T74" s="60" t="s">
        <v>240</v>
      </c>
    </row>
    <row r="75" spans="1:20" x14ac:dyDescent="0.2">
      <c r="A75" s="45">
        <v>71</v>
      </c>
      <c r="B75" s="84" t="s">
        <v>258</v>
      </c>
      <c r="C75" s="46" t="s">
        <v>259</v>
      </c>
      <c r="D75" s="76" t="s">
        <v>260</v>
      </c>
      <c r="E75" s="74">
        <v>700</v>
      </c>
      <c r="F75" s="52">
        <v>700</v>
      </c>
      <c r="G75" s="50">
        <f t="shared" si="5"/>
        <v>52.5</v>
      </c>
      <c r="H75" s="50">
        <f t="shared" si="6"/>
        <v>99.749999999999986</v>
      </c>
      <c r="I75" s="51">
        <f t="shared" si="7"/>
        <v>0</v>
      </c>
      <c r="J75" s="52"/>
      <c r="K75" s="52">
        <v>0</v>
      </c>
      <c r="L75" s="53"/>
      <c r="M75" s="54">
        <f t="shared" si="8"/>
        <v>647.5</v>
      </c>
      <c r="N75" s="55">
        <f t="shared" si="9"/>
        <v>799.75</v>
      </c>
      <c r="O75" s="33" t="s">
        <v>54</v>
      </c>
      <c r="P75" s="60" t="s">
        <v>258</v>
      </c>
      <c r="Q75" s="60" t="s">
        <v>259</v>
      </c>
      <c r="R75" s="85"/>
      <c r="S75" s="62">
        <v>131111</v>
      </c>
      <c r="T75" s="60" t="s">
        <v>164</v>
      </c>
    </row>
    <row r="76" spans="1:20" x14ac:dyDescent="0.2">
      <c r="A76" s="45">
        <v>72</v>
      </c>
      <c r="B76" s="84" t="s">
        <v>261</v>
      </c>
      <c r="C76" s="46" t="s">
        <v>262</v>
      </c>
      <c r="D76" s="76" t="s">
        <v>263</v>
      </c>
      <c r="E76" s="74">
        <v>1560</v>
      </c>
      <c r="F76" s="52">
        <v>1560</v>
      </c>
      <c r="G76" s="50">
        <f t="shared" si="5"/>
        <v>117</v>
      </c>
      <c r="H76" s="50">
        <f t="shared" si="6"/>
        <v>222.29999999999998</v>
      </c>
      <c r="I76" s="51">
        <f t="shared" si="7"/>
        <v>3</v>
      </c>
      <c r="J76" s="52"/>
      <c r="K76" s="52">
        <v>0</v>
      </c>
      <c r="L76" s="53"/>
      <c r="M76" s="54">
        <f t="shared" si="8"/>
        <v>1440</v>
      </c>
      <c r="N76" s="55">
        <f t="shared" si="9"/>
        <v>1782.3</v>
      </c>
      <c r="O76" s="33" t="s">
        <v>69</v>
      </c>
      <c r="P76" s="60" t="s">
        <v>261</v>
      </c>
      <c r="Q76" s="60" t="s">
        <v>262</v>
      </c>
      <c r="R76" s="85"/>
      <c r="S76" s="62">
        <v>329111</v>
      </c>
      <c r="T76" s="60" t="s">
        <v>264</v>
      </c>
    </row>
    <row r="77" spans="1:20" x14ac:dyDescent="0.2">
      <c r="A77" s="45">
        <v>73</v>
      </c>
      <c r="B77" s="84" t="s">
        <v>265</v>
      </c>
      <c r="C77" s="46" t="s">
        <v>266</v>
      </c>
      <c r="D77" s="76" t="s">
        <v>263</v>
      </c>
      <c r="E77" s="74">
        <v>1560</v>
      </c>
      <c r="F77" s="52">
        <v>1560</v>
      </c>
      <c r="G77" s="50">
        <f t="shared" si="5"/>
        <v>117</v>
      </c>
      <c r="H77" s="50">
        <f t="shared" si="6"/>
        <v>222.29999999999998</v>
      </c>
      <c r="I77" s="51">
        <f t="shared" si="7"/>
        <v>3</v>
      </c>
      <c r="J77" s="52"/>
      <c r="K77" s="52">
        <v>0</v>
      </c>
      <c r="L77" s="53"/>
      <c r="M77" s="54">
        <f t="shared" si="8"/>
        <v>1440</v>
      </c>
      <c r="N77" s="55">
        <f t="shared" si="9"/>
        <v>1782.3</v>
      </c>
      <c r="O77" s="33" t="s">
        <v>69</v>
      </c>
      <c r="P77" s="60" t="s">
        <v>265</v>
      </c>
      <c r="Q77" s="60" t="s">
        <v>266</v>
      </c>
      <c r="R77" s="85"/>
      <c r="S77" s="62">
        <v>329111</v>
      </c>
      <c r="T77" s="60" t="s">
        <v>264</v>
      </c>
    </row>
    <row r="78" spans="1:20" x14ac:dyDescent="0.2">
      <c r="A78" s="45">
        <v>74</v>
      </c>
      <c r="B78" s="84" t="s">
        <v>267</v>
      </c>
      <c r="C78" s="46" t="s">
        <v>268</v>
      </c>
      <c r="D78" s="76" t="s">
        <v>269</v>
      </c>
      <c r="E78" s="74">
        <v>1420</v>
      </c>
      <c r="F78" s="52">
        <v>1420</v>
      </c>
      <c r="G78" s="50">
        <f t="shared" si="5"/>
        <v>106.5</v>
      </c>
      <c r="H78" s="50">
        <f t="shared" si="6"/>
        <v>202.35</v>
      </c>
      <c r="I78" s="51">
        <f t="shared" si="7"/>
        <v>46.166666666666664</v>
      </c>
      <c r="J78" s="52"/>
      <c r="K78" s="52">
        <v>0</v>
      </c>
      <c r="L78" s="53"/>
      <c r="M78" s="54">
        <f t="shared" si="8"/>
        <v>1267.3333333333333</v>
      </c>
      <c r="N78" s="55">
        <f t="shared" si="9"/>
        <v>1622.35</v>
      </c>
      <c r="O78" s="33" t="s">
        <v>54</v>
      </c>
      <c r="P78" s="60" t="s">
        <v>267</v>
      </c>
      <c r="Q78" s="60" t="s">
        <v>268</v>
      </c>
      <c r="R78" s="85"/>
      <c r="S78" s="62">
        <v>329111</v>
      </c>
      <c r="T78" s="60" t="s">
        <v>264</v>
      </c>
    </row>
    <row r="79" spans="1:20" ht="15" thickBot="1" x14ac:dyDescent="0.25">
      <c r="A79" s="45">
        <v>75</v>
      </c>
      <c r="B79" s="84" t="s">
        <v>270</v>
      </c>
      <c r="C79" s="46" t="s">
        <v>271</v>
      </c>
      <c r="D79" s="76" t="s">
        <v>250</v>
      </c>
      <c r="E79" s="74">
        <v>1207</v>
      </c>
      <c r="F79" s="52">
        <v>1207</v>
      </c>
      <c r="G79" s="50">
        <f t="shared" si="5"/>
        <v>90.524999999999991</v>
      </c>
      <c r="H79" s="50">
        <f t="shared" si="6"/>
        <v>171.99749999999997</v>
      </c>
      <c r="I79" s="51">
        <f t="shared" si="7"/>
        <v>24.866666666666664</v>
      </c>
      <c r="J79" s="52"/>
      <c r="K79" s="52">
        <v>0</v>
      </c>
      <c r="L79" s="53"/>
      <c r="M79" s="54">
        <f t="shared" si="8"/>
        <v>1091.6083333333333</v>
      </c>
      <c r="N79" s="55">
        <f t="shared" si="9"/>
        <v>1378.9974999999999</v>
      </c>
      <c r="O79" s="33" t="s">
        <v>54</v>
      </c>
      <c r="P79" s="60" t="s">
        <v>270</v>
      </c>
      <c r="Q79" s="60" t="s">
        <v>271</v>
      </c>
      <c r="R79" s="85"/>
      <c r="S79" s="58">
        <v>325411</v>
      </c>
      <c r="T79" s="56" t="s">
        <v>56</v>
      </c>
    </row>
    <row r="80" spans="1:20" x14ac:dyDescent="0.2">
      <c r="A80" s="63">
        <v>76</v>
      </c>
      <c r="B80" s="84" t="s">
        <v>272</v>
      </c>
      <c r="C80" s="46" t="s">
        <v>273</v>
      </c>
      <c r="D80" s="76" t="s">
        <v>274</v>
      </c>
      <c r="E80" s="74">
        <v>675</v>
      </c>
      <c r="F80" s="52">
        <v>675</v>
      </c>
      <c r="G80" s="50">
        <f t="shared" si="5"/>
        <v>50.625</v>
      </c>
      <c r="H80" s="50">
        <f t="shared" si="6"/>
        <v>96.187499999999986</v>
      </c>
      <c r="I80" s="51">
        <f t="shared" si="7"/>
        <v>0</v>
      </c>
      <c r="J80" s="52"/>
      <c r="K80" s="52">
        <v>0</v>
      </c>
      <c r="L80" s="53"/>
      <c r="M80" s="54">
        <f t="shared" si="8"/>
        <v>624.375</v>
      </c>
      <c r="N80" s="55">
        <f t="shared" si="9"/>
        <v>771.1875</v>
      </c>
      <c r="O80" s="33" t="s">
        <v>54</v>
      </c>
      <c r="P80" s="60" t="s">
        <v>272</v>
      </c>
      <c r="Q80" s="60" t="s">
        <v>273</v>
      </c>
      <c r="R80" s="85"/>
      <c r="S80" s="62">
        <v>325411</v>
      </c>
      <c r="T80" s="60" t="s">
        <v>275</v>
      </c>
    </row>
    <row r="81" spans="1:20" x14ac:dyDescent="0.2">
      <c r="A81" s="45">
        <v>77</v>
      </c>
      <c r="B81" s="84" t="s">
        <v>276</v>
      </c>
      <c r="C81" s="46" t="s">
        <v>277</v>
      </c>
      <c r="D81" s="76" t="s">
        <v>278</v>
      </c>
      <c r="E81" s="74">
        <v>530</v>
      </c>
      <c r="F81" s="52">
        <v>530</v>
      </c>
      <c r="G81" s="50">
        <f t="shared" si="5"/>
        <v>39.75</v>
      </c>
      <c r="H81" s="50">
        <f t="shared" si="6"/>
        <v>75.524999999999991</v>
      </c>
      <c r="I81" s="51">
        <f t="shared" si="7"/>
        <v>0</v>
      </c>
      <c r="J81" s="52"/>
      <c r="K81" s="52">
        <v>0</v>
      </c>
      <c r="L81" s="53"/>
      <c r="M81" s="54">
        <f t="shared" si="8"/>
        <v>490.25</v>
      </c>
      <c r="N81" s="55">
        <f t="shared" si="9"/>
        <v>605.52499999999998</v>
      </c>
      <c r="O81" s="33" t="s">
        <v>54</v>
      </c>
      <c r="P81" s="60" t="s">
        <v>276</v>
      </c>
      <c r="Q81" s="60" t="s">
        <v>277</v>
      </c>
      <c r="R81" s="85"/>
      <c r="S81" s="62">
        <v>325411</v>
      </c>
      <c r="T81" s="60" t="s">
        <v>275</v>
      </c>
    </row>
    <row r="82" spans="1:20" x14ac:dyDescent="0.2">
      <c r="A82" s="45">
        <v>78</v>
      </c>
      <c r="B82" s="84" t="s">
        <v>279</v>
      </c>
      <c r="C82" s="46" t="s">
        <v>280</v>
      </c>
      <c r="D82" s="76" t="s">
        <v>250</v>
      </c>
      <c r="E82" s="74">
        <v>1280</v>
      </c>
      <c r="F82" s="52">
        <v>1280</v>
      </c>
      <c r="G82" s="50">
        <f t="shared" si="5"/>
        <v>96</v>
      </c>
      <c r="H82" s="50">
        <f t="shared" si="6"/>
        <v>182.39999999999998</v>
      </c>
      <c r="I82" s="51">
        <f t="shared" si="7"/>
        <v>32.166666666666664</v>
      </c>
      <c r="J82" s="52"/>
      <c r="K82" s="52">
        <v>0</v>
      </c>
      <c r="L82" s="53"/>
      <c r="M82" s="54">
        <f t="shared" si="8"/>
        <v>1151.8333333333333</v>
      </c>
      <c r="N82" s="55">
        <f t="shared" si="9"/>
        <v>1462.4</v>
      </c>
      <c r="O82" s="33" t="s">
        <v>54</v>
      </c>
      <c r="P82" s="60" t="s">
        <v>279</v>
      </c>
      <c r="Q82" s="60" t="s">
        <v>281</v>
      </c>
      <c r="R82" s="85"/>
      <c r="S82" s="62">
        <v>325311</v>
      </c>
      <c r="T82" s="60" t="s">
        <v>56</v>
      </c>
    </row>
    <row r="83" spans="1:20" x14ac:dyDescent="0.2">
      <c r="A83" s="45">
        <v>79</v>
      </c>
      <c r="B83" s="84" t="s">
        <v>282</v>
      </c>
      <c r="C83" s="46" t="s">
        <v>283</v>
      </c>
      <c r="D83" s="76" t="s">
        <v>284</v>
      </c>
      <c r="E83" s="74">
        <v>850</v>
      </c>
      <c r="F83" s="52">
        <v>850</v>
      </c>
      <c r="G83" s="50">
        <f t="shared" si="5"/>
        <v>63.75</v>
      </c>
      <c r="H83" s="50">
        <f t="shared" si="6"/>
        <v>121.12499999999999</v>
      </c>
      <c r="I83" s="51">
        <f t="shared" si="7"/>
        <v>5</v>
      </c>
      <c r="J83" s="52"/>
      <c r="K83" s="52">
        <v>0</v>
      </c>
      <c r="L83" s="53"/>
      <c r="M83" s="54">
        <f t="shared" si="8"/>
        <v>781.25</v>
      </c>
      <c r="N83" s="55">
        <f t="shared" si="9"/>
        <v>971.125</v>
      </c>
      <c r="O83" s="33" t="s">
        <v>54</v>
      </c>
      <c r="P83" s="88" t="s">
        <v>282</v>
      </c>
      <c r="Q83" s="88" t="s">
        <v>283</v>
      </c>
      <c r="R83" s="85"/>
      <c r="S83" s="62">
        <v>323111</v>
      </c>
      <c r="T83" s="60" t="s">
        <v>56</v>
      </c>
    </row>
    <row r="84" spans="1:20" x14ac:dyDescent="0.2">
      <c r="A84" s="45">
        <v>80</v>
      </c>
      <c r="B84" s="84" t="s">
        <v>285</v>
      </c>
      <c r="C84" s="46" t="s">
        <v>286</v>
      </c>
      <c r="D84" s="76" t="s">
        <v>287</v>
      </c>
      <c r="E84" s="74">
        <v>550</v>
      </c>
      <c r="F84" s="52">
        <v>550</v>
      </c>
      <c r="G84" s="50">
        <f t="shared" si="5"/>
        <v>41.25</v>
      </c>
      <c r="H84" s="50">
        <f t="shared" si="6"/>
        <v>78.375</v>
      </c>
      <c r="I84" s="51">
        <f t="shared" si="7"/>
        <v>0</v>
      </c>
      <c r="J84" s="52"/>
      <c r="K84" s="52">
        <v>0</v>
      </c>
      <c r="L84" s="53"/>
      <c r="M84" s="54">
        <f t="shared" si="8"/>
        <v>508.75</v>
      </c>
      <c r="N84" s="55">
        <f t="shared" si="9"/>
        <v>628.375</v>
      </c>
      <c r="O84" s="33" t="s">
        <v>54</v>
      </c>
      <c r="P84" s="88" t="s">
        <v>285</v>
      </c>
      <c r="Q84" s="88" t="s">
        <v>286</v>
      </c>
      <c r="R84" s="85"/>
      <c r="S84" s="62">
        <v>323111</v>
      </c>
      <c r="T84" s="60" t="s">
        <v>56</v>
      </c>
    </row>
    <row r="85" spans="1:20" ht="15" thickBot="1" x14ac:dyDescent="0.25">
      <c r="A85" s="45">
        <v>81</v>
      </c>
      <c r="B85" s="84" t="s">
        <v>288</v>
      </c>
      <c r="C85" s="46" t="s">
        <v>289</v>
      </c>
      <c r="D85" s="76" t="s">
        <v>287</v>
      </c>
      <c r="E85" s="74">
        <v>550</v>
      </c>
      <c r="F85" s="52">
        <v>550</v>
      </c>
      <c r="G85" s="50">
        <f t="shared" si="5"/>
        <v>41.25</v>
      </c>
      <c r="H85" s="50">
        <f t="shared" si="6"/>
        <v>78.375</v>
      </c>
      <c r="I85" s="51">
        <f t="shared" si="7"/>
        <v>0</v>
      </c>
      <c r="J85" s="52"/>
      <c r="K85" s="52">
        <v>0</v>
      </c>
      <c r="L85" s="53"/>
      <c r="M85" s="54">
        <f t="shared" si="8"/>
        <v>508.75</v>
      </c>
      <c r="N85" s="55">
        <f t="shared" si="9"/>
        <v>628.375</v>
      </c>
      <c r="O85" s="33" t="s">
        <v>54</v>
      </c>
      <c r="P85" s="88" t="s">
        <v>288</v>
      </c>
      <c r="Q85" s="88" t="s">
        <v>289</v>
      </c>
      <c r="R85" s="85"/>
      <c r="S85" s="62">
        <v>323111</v>
      </c>
      <c r="T85" s="60" t="s">
        <v>56</v>
      </c>
    </row>
    <row r="86" spans="1:20" ht="15" x14ac:dyDescent="0.25">
      <c r="A86" s="63">
        <v>82</v>
      </c>
      <c r="B86" s="84" t="s">
        <v>290</v>
      </c>
      <c r="C86" s="89" t="s">
        <v>291</v>
      </c>
      <c r="D86" s="76" t="s">
        <v>65</v>
      </c>
      <c r="E86" s="74">
        <v>850</v>
      </c>
      <c r="F86" s="52">
        <v>850</v>
      </c>
      <c r="G86" s="50">
        <f t="shared" si="5"/>
        <v>63.75</v>
      </c>
      <c r="H86" s="50">
        <f t="shared" si="6"/>
        <v>121.12499999999999</v>
      </c>
      <c r="I86" s="51">
        <f t="shared" si="7"/>
        <v>5</v>
      </c>
      <c r="J86" s="52"/>
      <c r="K86" s="52">
        <v>0</v>
      </c>
      <c r="L86" s="53"/>
      <c r="M86" s="54">
        <f t="shared" si="8"/>
        <v>781.25</v>
      </c>
      <c r="N86" s="55">
        <f t="shared" si="9"/>
        <v>971.125</v>
      </c>
      <c r="O86" s="33" t="s">
        <v>54</v>
      </c>
      <c r="P86" s="84" t="s">
        <v>290</v>
      </c>
      <c r="Q86" s="89" t="s">
        <v>291</v>
      </c>
      <c r="R86" s="85"/>
      <c r="S86" s="58">
        <v>323111</v>
      </c>
      <c r="T86" s="56" t="s">
        <v>56</v>
      </c>
    </row>
    <row r="87" spans="1:20" ht="15" x14ac:dyDescent="0.25">
      <c r="A87" s="45">
        <v>83</v>
      </c>
      <c r="B87" s="84" t="s">
        <v>292</v>
      </c>
      <c r="C87" s="89" t="s">
        <v>293</v>
      </c>
      <c r="D87" s="76" t="s">
        <v>65</v>
      </c>
      <c r="E87" s="74">
        <v>850</v>
      </c>
      <c r="F87" s="52">
        <v>850</v>
      </c>
      <c r="G87" s="50">
        <f t="shared" si="5"/>
        <v>63.75</v>
      </c>
      <c r="H87" s="50">
        <f t="shared" si="6"/>
        <v>121.12499999999999</v>
      </c>
      <c r="I87" s="51">
        <f t="shared" si="7"/>
        <v>5</v>
      </c>
      <c r="J87" s="52"/>
      <c r="K87" s="52">
        <v>0</v>
      </c>
      <c r="L87" s="53"/>
      <c r="M87" s="54">
        <f t="shared" si="8"/>
        <v>781.25</v>
      </c>
      <c r="N87" s="55">
        <f t="shared" si="9"/>
        <v>971.125</v>
      </c>
      <c r="O87" s="33" t="s">
        <v>54</v>
      </c>
      <c r="P87" s="84" t="s">
        <v>292</v>
      </c>
      <c r="Q87" s="89" t="s">
        <v>293</v>
      </c>
      <c r="R87" s="85"/>
      <c r="S87" s="62">
        <v>323111</v>
      </c>
      <c r="T87" s="60" t="s">
        <v>56</v>
      </c>
    </row>
    <row r="88" spans="1:20" ht="15" x14ac:dyDescent="0.25">
      <c r="A88" s="45">
        <v>84</v>
      </c>
      <c r="B88" s="84" t="s">
        <v>294</v>
      </c>
      <c r="C88" s="89" t="s">
        <v>295</v>
      </c>
      <c r="D88" s="76" t="s">
        <v>296</v>
      </c>
      <c r="E88" s="74">
        <v>1170</v>
      </c>
      <c r="F88" s="52">
        <v>1170</v>
      </c>
      <c r="G88" s="50">
        <f t="shared" si="5"/>
        <v>87.75</v>
      </c>
      <c r="H88" s="50">
        <f t="shared" si="6"/>
        <v>166.72499999999999</v>
      </c>
      <c r="I88" s="51">
        <f t="shared" si="7"/>
        <v>21.166666666666668</v>
      </c>
      <c r="J88" s="52"/>
      <c r="K88" s="52">
        <v>0</v>
      </c>
      <c r="L88" s="53"/>
      <c r="M88" s="54">
        <f t="shared" si="8"/>
        <v>1061.0833333333333</v>
      </c>
      <c r="N88" s="55">
        <f t="shared" si="9"/>
        <v>1336.7249999999999</v>
      </c>
      <c r="O88" s="33" t="s">
        <v>54</v>
      </c>
      <c r="P88" s="84" t="s">
        <v>294</v>
      </c>
      <c r="Q88" s="89" t="s">
        <v>295</v>
      </c>
      <c r="R88" s="85"/>
      <c r="S88" s="62">
        <v>326111</v>
      </c>
      <c r="T88" s="60" t="s">
        <v>56</v>
      </c>
    </row>
    <row r="89" spans="1:20" ht="15" x14ac:dyDescent="0.25">
      <c r="A89" s="45">
        <v>85</v>
      </c>
      <c r="B89" s="84" t="s">
        <v>297</v>
      </c>
      <c r="C89" s="89" t="s">
        <v>298</v>
      </c>
      <c r="D89" s="76" t="s">
        <v>299</v>
      </c>
      <c r="E89" s="74">
        <v>2770</v>
      </c>
      <c r="F89" s="52">
        <v>2770</v>
      </c>
      <c r="G89" s="50">
        <f t="shared" si="5"/>
        <v>207.75</v>
      </c>
      <c r="H89" s="50">
        <f t="shared" si="6"/>
        <v>394.72499999999997</v>
      </c>
      <c r="I89" s="51">
        <f t="shared" si="7"/>
        <v>129</v>
      </c>
      <c r="J89" s="52"/>
      <c r="K89" s="52">
        <v>0</v>
      </c>
      <c r="L89" s="53"/>
      <c r="M89" s="54">
        <f t="shared" si="8"/>
        <v>2433.25</v>
      </c>
      <c r="N89" s="55">
        <f t="shared" si="9"/>
        <v>3164.7249999999999</v>
      </c>
      <c r="O89" s="33" t="s">
        <v>69</v>
      </c>
      <c r="P89" s="84" t="s">
        <v>297</v>
      </c>
      <c r="Q89" s="89" t="s">
        <v>298</v>
      </c>
      <c r="R89" s="85"/>
      <c r="S89" s="62">
        <v>329111</v>
      </c>
      <c r="T89" s="60" t="s">
        <v>56</v>
      </c>
    </row>
    <row r="90" spans="1:20" x14ac:dyDescent="0.2">
      <c r="A90" s="45">
        <v>86</v>
      </c>
      <c r="B90" s="84" t="s">
        <v>300</v>
      </c>
      <c r="C90" s="92" t="s">
        <v>301</v>
      </c>
      <c r="D90" s="76" t="s">
        <v>302</v>
      </c>
      <c r="E90" s="74">
        <v>1420</v>
      </c>
      <c r="F90" s="52">
        <v>1420</v>
      </c>
      <c r="G90" s="50">
        <f t="shared" si="5"/>
        <v>106.5</v>
      </c>
      <c r="H90" s="50">
        <f t="shared" si="6"/>
        <v>202.35</v>
      </c>
      <c r="I90" s="51">
        <f t="shared" si="7"/>
        <v>46.166666666666664</v>
      </c>
      <c r="J90" s="52"/>
      <c r="K90" s="52">
        <v>0</v>
      </c>
      <c r="L90" s="53"/>
      <c r="M90" s="54">
        <f t="shared" si="8"/>
        <v>1267.3333333333333</v>
      </c>
      <c r="N90" s="55">
        <f t="shared" si="9"/>
        <v>1622.35</v>
      </c>
      <c r="O90" s="33" t="s">
        <v>54</v>
      </c>
      <c r="P90" s="84" t="s">
        <v>300</v>
      </c>
      <c r="Q90" s="92" t="s">
        <v>301</v>
      </c>
      <c r="R90" s="85"/>
      <c r="S90" s="62">
        <v>325311</v>
      </c>
      <c r="T90" s="60" t="s">
        <v>56</v>
      </c>
    </row>
    <row r="91" spans="1:20" ht="15" thickBot="1" x14ac:dyDescent="0.25">
      <c r="A91" s="45">
        <v>87</v>
      </c>
      <c r="B91" s="84" t="s">
        <v>303</v>
      </c>
      <c r="C91" s="92" t="s">
        <v>304</v>
      </c>
      <c r="D91" s="76" t="s">
        <v>302</v>
      </c>
      <c r="E91" s="74">
        <v>1490</v>
      </c>
      <c r="F91" s="52">
        <v>1490</v>
      </c>
      <c r="G91" s="50">
        <f t="shared" si="5"/>
        <v>111.75</v>
      </c>
      <c r="H91" s="50">
        <f t="shared" si="6"/>
        <v>212.32499999999999</v>
      </c>
      <c r="I91" s="51">
        <f t="shared" si="7"/>
        <v>53.166666666666664</v>
      </c>
      <c r="J91" s="52"/>
      <c r="K91" s="52">
        <v>0</v>
      </c>
      <c r="L91" s="53"/>
      <c r="M91" s="54">
        <f t="shared" si="8"/>
        <v>1325.0833333333333</v>
      </c>
      <c r="N91" s="55">
        <f t="shared" si="9"/>
        <v>1702.325</v>
      </c>
      <c r="O91" s="33" t="s">
        <v>54</v>
      </c>
      <c r="P91" s="84" t="s">
        <v>303</v>
      </c>
      <c r="Q91" s="92" t="s">
        <v>304</v>
      </c>
      <c r="R91" s="85"/>
      <c r="S91" s="62">
        <v>325311</v>
      </c>
      <c r="T91" s="60" t="s">
        <v>56</v>
      </c>
    </row>
    <row r="92" spans="1:20" x14ac:dyDescent="0.2">
      <c r="A92" s="63">
        <v>88</v>
      </c>
      <c r="B92" s="84" t="s">
        <v>305</v>
      </c>
      <c r="C92" s="92" t="s">
        <v>306</v>
      </c>
      <c r="D92" s="76" t="s">
        <v>307</v>
      </c>
      <c r="E92" s="74">
        <v>1008</v>
      </c>
      <c r="F92" s="52">
        <v>1008</v>
      </c>
      <c r="G92" s="50">
        <f t="shared" si="5"/>
        <v>75.599999999999994</v>
      </c>
      <c r="H92" s="50">
        <f t="shared" si="6"/>
        <v>143.63999999999999</v>
      </c>
      <c r="I92" s="51">
        <f t="shared" si="7"/>
        <v>12.9</v>
      </c>
      <c r="J92" s="52"/>
      <c r="K92" s="52">
        <v>0</v>
      </c>
      <c r="L92" s="53"/>
      <c r="M92" s="54">
        <f t="shared" si="8"/>
        <v>919.5</v>
      </c>
      <c r="N92" s="55">
        <f t="shared" si="9"/>
        <v>1151.6399999999999</v>
      </c>
      <c r="O92" s="33" t="s">
        <v>54</v>
      </c>
      <c r="P92" s="84" t="s">
        <v>305</v>
      </c>
      <c r="Q92" s="92" t="s">
        <v>306</v>
      </c>
      <c r="R92" s="85"/>
      <c r="S92" s="62">
        <v>322111</v>
      </c>
      <c r="T92" s="60" t="s">
        <v>56</v>
      </c>
    </row>
    <row r="93" spans="1:20" x14ac:dyDescent="0.2">
      <c r="A93" s="45">
        <v>89</v>
      </c>
      <c r="B93" s="84" t="s">
        <v>308</v>
      </c>
      <c r="C93" s="92" t="s">
        <v>309</v>
      </c>
      <c r="D93" s="76" t="s">
        <v>417</v>
      </c>
      <c r="E93" s="74">
        <v>2130</v>
      </c>
      <c r="F93" s="52">
        <v>2130</v>
      </c>
      <c r="G93" s="50">
        <f t="shared" si="5"/>
        <v>159.75</v>
      </c>
      <c r="H93" s="50">
        <f t="shared" si="6"/>
        <v>303.52499999999998</v>
      </c>
      <c r="I93" s="51">
        <f t="shared" si="7"/>
        <v>151</v>
      </c>
      <c r="J93" s="52"/>
      <c r="K93" s="52">
        <v>0</v>
      </c>
      <c r="L93" s="53"/>
      <c r="M93" s="54">
        <f t="shared" si="8"/>
        <v>1819.25</v>
      </c>
      <c r="N93" s="55">
        <f t="shared" si="9"/>
        <v>2433.5250000000001</v>
      </c>
      <c r="O93" s="33" t="s">
        <v>54</v>
      </c>
      <c r="P93" s="84" t="s">
        <v>308</v>
      </c>
      <c r="Q93" s="92" t="s">
        <v>309</v>
      </c>
      <c r="R93" s="85"/>
      <c r="S93" s="58">
        <v>325311</v>
      </c>
      <c r="T93" s="56" t="s">
        <v>56</v>
      </c>
    </row>
    <row r="94" spans="1:20" x14ac:dyDescent="0.2">
      <c r="A94" s="45">
        <v>90</v>
      </c>
      <c r="B94" s="84" t="s">
        <v>311</v>
      </c>
      <c r="C94" s="92" t="s">
        <v>312</v>
      </c>
      <c r="D94" s="76" t="s">
        <v>313</v>
      </c>
      <c r="E94" s="74">
        <v>1880</v>
      </c>
      <c r="F94" s="74">
        <v>1880</v>
      </c>
      <c r="G94" s="50">
        <f t="shared" si="5"/>
        <v>141</v>
      </c>
      <c r="H94" s="50">
        <f t="shared" si="6"/>
        <v>267.89999999999998</v>
      </c>
      <c r="I94" s="51">
        <f t="shared" si="7"/>
        <v>107</v>
      </c>
      <c r="J94" s="52"/>
      <c r="K94" s="52">
        <v>0</v>
      </c>
      <c r="L94" s="53"/>
      <c r="M94" s="54">
        <f t="shared" si="8"/>
        <v>1632</v>
      </c>
      <c r="N94" s="55">
        <f t="shared" si="9"/>
        <v>2147.9</v>
      </c>
      <c r="O94" s="33" t="s">
        <v>54</v>
      </c>
      <c r="P94" s="84" t="s">
        <v>311</v>
      </c>
      <c r="Q94" s="92" t="s">
        <v>312</v>
      </c>
      <c r="R94" s="85"/>
      <c r="S94" s="62">
        <v>329111</v>
      </c>
      <c r="T94" s="60" t="s">
        <v>56</v>
      </c>
    </row>
    <row r="95" spans="1:20" x14ac:dyDescent="0.2">
      <c r="A95" s="45">
        <v>91</v>
      </c>
      <c r="B95" s="84" t="s">
        <v>314</v>
      </c>
      <c r="C95" s="92" t="s">
        <v>315</v>
      </c>
      <c r="D95" s="76" t="s">
        <v>316</v>
      </c>
      <c r="E95" s="74">
        <v>355</v>
      </c>
      <c r="F95" s="52">
        <f t="shared" ref="F95:F100" si="10">E95/31*31</f>
        <v>355</v>
      </c>
      <c r="G95" s="50">
        <f>320*0.075</f>
        <v>24</v>
      </c>
      <c r="H95" s="50">
        <f>320*0.1425</f>
        <v>45.599999999999994</v>
      </c>
      <c r="I95" s="51">
        <f t="shared" si="7"/>
        <v>0</v>
      </c>
      <c r="J95" s="52"/>
      <c r="K95" s="52">
        <v>0</v>
      </c>
      <c r="L95" s="53"/>
      <c r="M95" s="54">
        <f>(F95+K95)-SUM(G95,I95,J95,L95)</f>
        <v>331</v>
      </c>
      <c r="N95" s="55">
        <f t="shared" si="9"/>
        <v>400.6</v>
      </c>
      <c r="O95" s="33" t="s">
        <v>54</v>
      </c>
      <c r="P95" s="84" t="s">
        <v>314</v>
      </c>
      <c r="Q95" s="92" t="s">
        <v>315</v>
      </c>
      <c r="R95" s="85"/>
      <c r="S95" s="62">
        <v>318531</v>
      </c>
      <c r="T95" s="60" t="s">
        <v>317</v>
      </c>
    </row>
    <row r="96" spans="1:20" x14ac:dyDescent="0.2">
      <c r="A96" s="45">
        <v>92</v>
      </c>
      <c r="B96" s="84" t="s">
        <v>318</v>
      </c>
      <c r="C96" s="92" t="s">
        <v>319</v>
      </c>
      <c r="D96" s="76" t="s">
        <v>320</v>
      </c>
      <c r="E96" s="74">
        <v>8300</v>
      </c>
      <c r="F96" s="52">
        <f t="shared" si="10"/>
        <v>8300</v>
      </c>
      <c r="G96" s="50">
        <f>5000*0.075</f>
        <v>375</v>
      </c>
      <c r="H96" s="50">
        <f>5000*0.1425</f>
        <v>712.49999999999989</v>
      </c>
      <c r="I96" s="51">
        <f t="shared" si="7"/>
        <v>1679.1666666666667</v>
      </c>
      <c r="J96" s="52"/>
      <c r="K96" s="52">
        <v>0</v>
      </c>
      <c r="L96" s="53"/>
      <c r="M96" s="54">
        <f t="shared" ref="M96:M115" si="11">(F96+K96)-SUM(G96,I96,J96,L96)</f>
        <v>6245.833333333333</v>
      </c>
      <c r="N96" s="55">
        <f t="shared" si="9"/>
        <v>9012.5</v>
      </c>
      <c r="O96" s="33" t="s">
        <v>54</v>
      </c>
      <c r="P96" s="84" t="s">
        <v>318</v>
      </c>
      <c r="Q96" s="92" t="s">
        <v>319</v>
      </c>
      <c r="R96" s="85"/>
      <c r="S96" s="62">
        <v>131111</v>
      </c>
      <c r="T96" s="60"/>
    </row>
    <row r="97" spans="1:20" ht="15" thickBot="1" x14ac:dyDescent="0.25">
      <c r="A97" s="45">
        <v>93</v>
      </c>
      <c r="B97" s="84" t="s">
        <v>321</v>
      </c>
      <c r="C97" s="92" t="s">
        <v>322</v>
      </c>
      <c r="D97" s="76" t="s">
        <v>323</v>
      </c>
      <c r="E97" s="74">
        <v>2550</v>
      </c>
      <c r="F97" s="52">
        <f t="shared" si="10"/>
        <v>2550</v>
      </c>
      <c r="G97" s="50">
        <f t="shared" ref="G97:G119" si="12">E97*0.075</f>
        <v>191.25</v>
      </c>
      <c r="H97" s="50">
        <f t="shared" ref="H97:H119" si="13">E97*0.1425</f>
        <v>363.37499999999994</v>
      </c>
      <c r="I97" s="51">
        <f t="shared" si="7"/>
        <v>241.66666666666666</v>
      </c>
      <c r="J97" s="52"/>
      <c r="K97" s="52">
        <v>0</v>
      </c>
      <c r="L97" s="53"/>
      <c r="M97" s="54">
        <f t="shared" si="11"/>
        <v>2117.0833333333335</v>
      </c>
      <c r="N97" s="55">
        <f t="shared" si="9"/>
        <v>2913.375</v>
      </c>
      <c r="O97" s="33" t="s">
        <v>54</v>
      </c>
      <c r="P97" s="84" t="s">
        <v>321</v>
      </c>
      <c r="Q97" s="92" t="s">
        <v>322</v>
      </c>
      <c r="R97" s="85"/>
      <c r="S97" s="62">
        <v>318242</v>
      </c>
      <c r="T97" s="60" t="s">
        <v>324</v>
      </c>
    </row>
    <row r="98" spans="1:20" x14ac:dyDescent="0.2">
      <c r="A98" s="63">
        <v>94</v>
      </c>
      <c r="B98" s="84" t="s">
        <v>325</v>
      </c>
      <c r="C98" s="92" t="s">
        <v>326</v>
      </c>
      <c r="D98" s="76" t="s">
        <v>327</v>
      </c>
      <c r="E98" s="74">
        <v>1350</v>
      </c>
      <c r="F98" s="52">
        <f t="shared" si="10"/>
        <v>1350</v>
      </c>
      <c r="G98" s="50">
        <f t="shared" si="12"/>
        <v>101.25</v>
      </c>
      <c r="H98" s="50">
        <f t="shared" si="13"/>
        <v>192.37499999999997</v>
      </c>
      <c r="I98" s="51">
        <f t="shared" si="7"/>
        <v>39.166666666666664</v>
      </c>
      <c r="J98" s="52"/>
      <c r="K98" s="52">
        <v>0</v>
      </c>
      <c r="L98" s="53"/>
      <c r="M98" s="54">
        <f t="shared" si="11"/>
        <v>1209.5833333333333</v>
      </c>
      <c r="N98" s="55">
        <f t="shared" si="9"/>
        <v>1542.375</v>
      </c>
      <c r="O98" s="33" t="s">
        <v>54</v>
      </c>
      <c r="P98" s="84" t="s">
        <v>325</v>
      </c>
      <c r="Q98" s="92" t="s">
        <v>326</v>
      </c>
      <c r="R98" s="85"/>
      <c r="S98" s="62">
        <v>323111</v>
      </c>
      <c r="T98" s="60" t="s">
        <v>240</v>
      </c>
    </row>
    <row r="99" spans="1:20" x14ac:dyDescent="0.2">
      <c r="A99" s="45">
        <v>95</v>
      </c>
      <c r="B99" s="84" t="s">
        <v>328</v>
      </c>
      <c r="C99" s="92" t="s">
        <v>329</v>
      </c>
      <c r="D99" s="76" t="s">
        <v>327</v>
      </c>
      <c r="E99" s="74">
        <v>1350</v>
      </c>
      <c r="F99" s="52">
        <f t="shared" si="10"/>
        <v>1350</v>
      </c>
      <c r="G99" s="50">
        <f t="shared" si="12"/>
        <v>101.25</v>
      </c>
      <c r="H99" s="50">
        <f t="shared" si="13"/>
        <v>192.37499999999997</v>
      </c>
      <c r="I99" s="51">
        <f t="shared" si="7"/>
        <v>39.166666666666664</v>
      </c>
      <c r="J99" s="52"/>
      <c r="K99" s="52">
        <v>0</v>
      </c>
      <c r="L99" s="53"/>
      <c r="M99" s="54">
        <f t="shared" si="11"/>
        <v>1209.5833333333333</v>
      </c>
      <c r="N99" s="55">
        <f t="shared" si="9"/>
        <v>1542.375</v>
      </c>
      <c r="O99" s="33" t="s">
        <v>54</v>
      </c>
      <c r="P99" s="84" t="s">
        <v>328</v>
      </c>
      <c r="Q99" s="92" t="s">
        <v>329</v>
      </c>
      <c r="R99" s="85"/>
      <c r="S99" s="62">
        <v>327111</v>
      </c>
      <c r="T99" s="60" t="s">
        <v>330</v>
      </c>
    </row>
    <row r="100" spans="1:20" x14ac:dyDescent="0.2">
      <c r="A100" s="45">
        <v>96</v>
      </c>
      <c r="B100" s="84" t="s">
        <v>331</v>
      </c>
      <c r="C100" s="92" t="s">
        <v>332</v>
      </c>
      <c r="D100" s="76" t="s">
        <v>418</v>
      </c>
      <c r="E100" s="74">
        <v>320</v>
      </c>
      <c r="F100" s="52">
        <f t="shared" si="10"/>
        <v>320</v>
      </c>
      <c r="G100" s="50">
        <f t="shared" si="12"/>
        <v>24</v>
      </c>
      <c r="H100" s="50">
        <f t="shared" si="13"/>
        <v>45.599999999999994</v>
      </c>
      <c r="I100" s="51">
        <f t="shared" si="7"/>
        <v>0</v>
      </c>
      <c r="J100" s="52"/>
      <c r="K100" s="52">
        <v>0</v>
      </c>
      <c r="L100" s="53"/>
      <c r="M100" s="54">
        <f t="shared" si="11"/>
        <v>296</v>
      </c>
      <c r="N100" s="55">
        <f t="shared" si="9"/>
        <v>365.6</v>
      </c>
      <c r="O100" s="33" t="s">
        <v>54</v>
      </c>
      <c r="P100" s="84" t="s">
        <v>331</v>
      </c>
      <c r="Q100" s="92" t="s">
        <v>334</v>
      </c>
      <c r="R100" s="85"/>
      <c r="S100" s="58">
        <v>323111</v>
      </c>
      <c r="T100" s="56" t="s">
        <v>56</v>
      </c>
    </row>
    <row r="101" spans="1:20" x14ac:dyDescent="0.2">
      <c r="A101" s="45">
        <v>97</v>
      </c>
      <c r="B101" s="84" t="s">
        <v>335</v>
      </c>
      <c r="C101" s="92" t="s">
        <v>336</v>
      </c>
      <c r="D101" s="76" t="s">
        <v>337</v>
      </c>
      <c r="E101" s="74">
        <v>1700</v>
      </c>
      <c r="F101" s="52">
        <f>E101/30*30</f>
        <v>1700</v>
      </c>
      <c r="G101" s="50">
        <f t="shared" si="12"/>
        <v>127.5</v>
      </c>
      <c r="H101" s="50">
        <f t="shared" si="13"/>
        <v>242.24999999999997</v>
      </c>
      <c r="I101" s="51">
        <f t="shared" si="7"/>
        <v>80</v>
      </c>
      <c r="J101" s="52"/>
      <c r="K101" s="52">
        <v>0</v>
      </c>
      <c r="L101" s="53"/>
      <c r="M101" s="54">
        <f t="shared" si="11"/>
        <v>1492.5</v>
      </c>
      <c r="N101" s="55">
        <f t="shared" si="9"/>
        <v>1942.25</v>
      </c>
      <c r="O101" s="33" t="s">
        <v>54</v>
      </c>
      <c r="P101" s="84" t="s">
        <v>335</v>
      </c>
      <c r="Q101" s="92" t="s">
        <v>338</v>
      </c>
      <c r="S101" s="62" t="s">
        <v>339</v>
      </c>
      <c r="T101" s="60" t="s">
        <v>177</v>
      </c>
    </row>
    <row r="102" spans="1:20" x14ac:dyDescent="0.2">
      <c r="A102" s="45">
        <v>98</v>
      </c>
      <c r="B102" s="84" t="s">
        <v>340</v>
      </c>
      <c r="C102" s="92" t="s">
        <v>341</v>
      </c>
      <c r="D102" s="76" t="s">
        <v>327</v>
      </c>
      <c r="E102" s="74">
        <v>1350</v>
      </c>
      <c r="F102" s="52">
        <f>E102/30*30</f>
        <v>1350</v>
      </c>
      <c r="G102" s="50">
        <f t="shared" si="12"/>
        <v>101.25</v>
      </c>
      <c r="H102" s="50">
        <f t="shared" si="13"/>
        <v>192.37499999999997</v>
      </c>
      <c r="I102" s="51">
        <f t="shared" si="7"/>
        <v>39.166666666666664</v>
      </c>
      <c r="J102" s="52"/>
      <c r="K102" s="52">
        <v>0</v>
      </c>
      <c r="L102" s="53"/>
      <c r="M102" s="54">
        <f t="shared" si="11"/>
        <v>1209.5833333333333</v>
      </c>
      <c r="N102" s="55">
        <f t="shared" si="9"/>
        <v>1542.375</v>
      </c>
      <c r="O102" s="33" t="s">
        <v>54</v>
      </c>
      <c r="P102" s="84" t="s">
        <v>340</v>
      </c>
      <c r="Q102" s="92" t="s">
        <v>342</v>
      </c>
      <c r="S102" s="62">
        <v>327111</v>
      </c>
      <c r="T102" s="60" t="s">
        <v>56</v>
      </c>
    </row>
    <row r="103" spans="1:20" ht="15" thickBot="1" x14ac:dyDescent="0.25">
      <c r="A103" s="45">
        <v>99</v>
      </c>
      <c r="B103" s="84" t="s">
        <v>343</v>
      </c>
      <c r="C103" s="92" t="s">
        <v>344</v>
      </c>
      <c r="D103" s="76" t="s">
        <v>94</v>
      </c>
      <c r="E103" s="74">
        <v>2700</v>
      </c>
      <c r="F103" s="52">
        <f>E103/30*30</f>
        <v>2700</v>
      </c>
      <c r="G103" s="50">
        <f t="shared" si="12"/>
        <v>202.5</v>
      </c>
      <c r="H103" s="50">
        <f t="shared" si="13"/>
        <v>384.74999999999994</v>
      </c>
      <c r="I103" s="51">
        <f t="shared" si="7"/>
        <v>117.5</v>
      </c>
      <c r="J103" s="52"/>
      <c r="K103" s="52">
        <v>0</v>
      </c>
      <c r="L103" s="53"/>
      <c r="M103" s="54">
        <f>(F103+K103)-SUM(G103,I103,J103,L103)</f>
        <v>2380</v>
      </c>
      <c r="N103" s="55">
        <f t="shared" si="9"/>
        <v>3084.75</v>
      </c>
      <c r="O103" s="33" t="s">
        <v>345</v>
      </c>
      <c r="P103" s="84" t="s">
        <v>343</v>
      </c>
      <c r="Q103" s="92" t="s">
        <v>346</v>
      </c>
      <c r="S103" s="62">
        <v>329111</v>
      </c>
      <c r="T103" s="60" t="s">
        <v>56</v>
      </c>
    </row>
    <row r="104" spans="1:20" x14ac:dyDescent="0.2">
      <c r="A104" s="63">
        <v>100</v>
      </c>
      <c r="B104" s="84" t="s">
        <v>347</v>
      </c>
      <c r="C104" s="92" t="s">
        <v>348</v>
      </c>
      <c r="D104" s="76" t="s">
        <v>307</v>
      </c>
      <c r="E104" s="74">
        <v>2430</v>
      </c>
      <c r="F104" s="52">
        <f>E104/30*30</f>
        <v>2430</v>
      </c>
      <c r="G104" s="50">
        <f t="shared" si="12"/>
        <v>182.25</v>
      </c>
      <c r="H104" s="50">
        <f t="shared" si="13"/>
        <v>346.27499999999998</v>
      </c>
      <c r="I104" s="51">
        <f t="shared" si="7"/>
        <v>77</v>
      </c>
      <c r="J104" s="52"/>
      <c r="K104" s="52">
        <v>0</v>
      </c>
      <c r="L104" s="53">
        <v>20</v>
      </c>
      <c r="M104" s="54">
        <f>(F104+K104)-SUM(G104,I104,J104,L104)</f>
        <v>2150.75</v>
      </c>
      <c r="N104" s="55">
        <f t="shared" si="9"/>
        <v>2776.2750000000001</v>
      </c>
      <c r="O104" s="33" t="s">
        <v>345</v>
      </c>
      <c r="P104" s="84" t="s">
        <v>347</v>
      </c>
      <c r="Q104" s="92" t="s">
        <v>349</v>
      </c>
      <c r="S104" s="62">
        <v>327111</v>
      </c>
      <c r="T104" s="60" t="s">
        <v>56</v>
      </c>
    </row>
    <row r="105" spans="1:20" x14ac:dyDescent="0.2">
      <c r="A105" s="45">
        <v>101</v>
      </c>
      <c r="B105" s="84" t="s">
        <v>350</v>
      </c>
      <c r="C105" s="92" t="s">
        <v>351</v>
      </c>
      <c r="D105" s="76" t="s">
        <v>352</v>
      </c>
      <c r="E105" s="74">
        <v>800</v>
      </c>
      <c r="F105" s="52">
        <f t="shared" ref="F105:F109" si="14">E105/31*31</f>
        <v>800</v>
      </c>
      <c r="G105" s="50">
        <f t="shared" si="12"/>
        <v>60</v>
      </c>
      <c r="H105" s="50">
        <f t="shared" si="13"/>
        <v>113.99999999999999</v>
      </c>
      <c r="I105" s="51">
        <f t="shared" si="7"/>
        <v>2.5</v>
      </c>
      <c r="J105" s="52"/>
      <c r="K105" s="52">
        <v>0</v>
      </c>
      <c r="L105" s="53"/>
      <c r="M105" s="54">
        <f>(F105+K105)-SUM(G105,I105,J105,L105)</f>
        <v>737.5</v>
      </c>
      <c r="N105" s="55">
        <f t="shared" si="9"/>
        <v>914</v>
      </c>
      <c r="O105" s="33" t="s">
        <v>353</v>
      </c>
      <c r="P105" s="84" t="s">
        <v>350</v>
      </c>
      <c r="Q105" s="92" t="s">
        <v>351</v>
      </c>
      <c r="S105" s="62" t="s">
        <v>354</v>
      </c>
      <c r="T105" s="60" t="s">
        <v>355</v>
      </c>
    </row>
    <row r="106" spans="1:20" x14ac:dyDescent="0.2">
      <c r="A106" s="45">
        <v>102</v>
      </c>
      <c r="B106" s="84" t="s">
        <v>356</v>
      </c>
      <c r="C106" s="92" t="s">
        <v>357</v>
      </c>
      <c r="D106" s="76" t="s">
        <v>250</v>
      </c>
      <c r="E106" s="74">
        <v>1135</v>
      </c>
      <c r="F106" s="52">
        <f t="shared" si="14"/>
        <v>1135</v>
      </c>
      <c r="G106" s="50">
        <f t="shared" si="12"/>
        <v>85.125</v>
      </c>
      <c r="H106" s="50">
        <f t="shared" si="13"/>
        <v>161.73749999999998</v>
      </c>
      <c r="I106" s="51">
        <f t="shared" si="7"/>
        <v>19.25</v>
      </c>
      <c r="J106" s="52"/>
      <c r="K106" s="52">
        <v>0</v>
      </c>
      <c r="L106" s="53"/>
      <c r="M106" s="54">
        <f>(F106+K106)-SUM(G106,I106,J106,L106)</f>
        <v>1030.625</v>
      </c>
      <c r="N106" s="55">
        <f>F106+H106</f>
        <v>1296.7375</v>
      </c>
      <c r="O106" s="33" t="s">
        <v>353</v>
      </c>
      <c r="P106" s="84" t="s">
        <v>356</v>
      </c>
      <c r="Q106" s="92" t="s">
        <v>357</v>
      </c>
      <c r="S106" s="62" t="s">
        <v>358</v>
      </c>
      <c r="T106" s="60" t="s">
        <v>56</v>
      </c>
    </row>
    <row r="107" spans="1:20" x14ac:dyDescent="0.2">
      <c r="A107" s="45">
        <v>103</v>
      </c>
      <c r="B107" s="84" t="s">
        <v>359</v>
      </c>
      <c r="C107" s="92" t="s">
        <v>360</v>
      </c>
      <c r="D107" s="76" t="s">
        <v>307</v>
      </c>
      <c r="E107" s="74">
        <v>640</v>
      </c>
      <c r="F107" s="52">
        <f t="shared" si="14"/>
        <v>640</v>
      </c>
      <c r="G107" s="50">
        <f t="shared" si="12"/>
        <v>48</v>
      </c>
      <c r="H107" s="50">
        <f t="shared" si="13"/>
        <v>91.199999999999989</v>
      </c>
      <c r="I107" s="51">
        <f t="shared" si="7"/>
        <v>0</v>
      </c>
      <c r="J107" s="52"/>
      <c r="K107" s="52">
        <v>0</v>
      </c>
      <c r="L107" s="53"/>
      <c r="M107" s="54">
        <f>(F107+K107)-SUM(G107,I107,J107,L107)</f>
        <v>592</v>
      </c>
      <c r="N107" s="55">
        <f t="shared" si="9"/>
        <v>731.2</v>
      </c>
      <c r="O107" s="33" t="s">
        <v>353</v>
      </c>
      <c r="P107" s="84" t="s">
        <v>359</v>
      </c>
      <c r="Q107" s="92" t="s">
        <v>360</v>
      </c>
      <c r="S107" s="58">
        <v>327111</v>
      </c>
      <c r="T107" s="56" t="s">
        <v>56</v>
      </c>
    </row>
    <row r="108" spans="1:20" x14ac:dyDescent="0.2">
      <c r="A108" s="45">
        <v>104</v>
      </c>
      <c r="B108" s="84" t="s">
        <v>361</v>
      </c>
      <c r="C108" s="92" t="s">
        <v>362</v>
      </c>
      <c r="D108" s="76" t="s">
        <v>363</v>
      </c>
      <c r="E108" s="74">
        <v>850</v>
      </c>
      <c r="F108" s="52">
        <f t="shared" si="14"/>
        <v>850</v>
      </c>
      <c r="G108" s="50">
        <f t="shared" si="12"/>
        <v>63.75</v>
      </c>
      <c r="H108" s="50">
        <f t="shared" si="13"/>
        <v>121.12499999999999</v>
      </c>
      <c r="I108" s="51">
        <f t="shared" si="7"/>
        <v>5</v>
      </c>
      <c r="J108" s="52"/>
      <c r="K108" s="52">
        <v>0</v>
      </c>
      <c r="L108" s="53"/>
      <c r="M108" s="54">
        <f t="shared" si="11"/>
        <v>781.25</v>
      </c>
      <c r="N108" s="55">
        <f t="shared" si="9"/>
        <v>971.125</v>
      </c>
      <c r="O108" s="33" t="s">
        <v>353</v>
      </c>
      <c r="P108" s="84" t="s">
        <v>361</v>
      </c>
      <c r="Q108" s="92" t="s">
        <v>362</v>
      </c>
      <c r="S108" s="62">
        <v>1.1E+112</v>
      </c>
      <c r="T108" s="60" t="s">
        <v>177</v>
      </c>
    </row>
    <row r="109" spans="1:20" ht="15" thickBot="1" x14ac:dyDescent="0.25">
      <c r="A109" s="45">
        <v>105</v>
      </c>
      <c r="B109" s="84" t="s">
        <v>367</v>
      </c>
      <c r="C109" s="92" t="s">
        <v>368</v>
      </c>
      <c r="D109" s="76" t="s">
        <v>253</v>
      </c>
      <c r="E109" s="97">
        <v>1915</v>
      </c>
      <c r="F109" s="52">
        <f t="shared" si="14"/>
        <v>1915</v>
      </c>
      <c r="G109" s="50">
        <f t="shared" si="12"/>
        <v>143.625</v>
      </c>
      <c r="H109" s="50">
        <f t="shared" si="13"/>
        <v>272.88749999999999</v>
      </c>
      <c r="I109" s="51">
        <f t="shared" si="7"/>
        <v>112.25</v>
      </c>
      <c r="J109" s="52"/>
      <c r="K109" s="52">
        <v>0</v>
      </c>
      <c r="L109" s="53"/>
      <c r="M109" s="54">
        <f t="shared" si="11"/>
        <v>1659.125</v>
      </c>
      <c r="N109" s="55">
        <f t="shared" si="9"/>
        <v>2187.8874999999998</v>
      </c>
      <c r="O109" s="33" t="s">
        <v>353</v>
      </c>
      <c r="P109" s="84" t="s">
        <v>367</v>
      </c>
      <c r="Q109" s="92" t="s">
        <v>368</v>
      </c>
      <c r="S109" s="62">
        <v>329111</v>
      </c>
      <c r="T109" s="60" t="s">
        <v>56</v>
      </c>
    </row>
    <row r="110" spans="1:20" x14ac:dyDescent="0.2">
      <c r="A110" s="63">
        <v>106</v>
      </c>
      <c r="B110" s="84" t="s">
        <v>369</v>
      </c>
      <c r="C110" s="92" t="s">
        <v>370</v>
      </c>
      <c r="D110" s="76" t="s">
        <v>371</v>
      </c>
      <c r="E110" s="74">
        <v>1525</v>
      </c>
      <c r="F110" s="52">
        <f>E110/31*31</f>
        <v>1525</v>
      </c>
      <c r="G110" s="50">
        <f t="shared" si="12"/>
        <v>114.375</v>
      </c>
      <c r="H110" s="50">
        <f t="shared" si="13"/>
        <v>217.31249999999997</v>
      </c>
      <c r="I110" s="51">
        <f t="shared" si="7"/>
        <v>1.25</v>
      </c>
      <c r="J110" s="52"/>
      <c r="K110" s="52">
        <v>0</v>
      </c>
      <c r="L110" s="53"/>
      <c r="M110" s="54">
        <f t="shared" si="11"/>
        <v>1409.375</v>
      </c>
      <c r="N110" s="55">
        <f t="shared" si="9"/>
        <v>1742.3125</v>
      </c>
      <c r="O110" s="33" t="s">
        <v>69</v>
      </c>
      <c r="P110" s="84" t="s">
        <v>369</v>
      </c>
      <c r="Q110" s="92" t="s">
        <v>370</v>
      </c>
      <c r="S110" s="62"/>
      <c r="T110" s="60"/>
    </row>
    <row r="111" spans="1:20" x14ac:dyDescent="0.2">
      <c r="A111" s="45">
        <v>107</v>
      </c>
      <c r="B111" s="84" t="s">
        <v>372</v>
      </c>
      <c r="C111" s="92" t="s">
        <v>373</v>
      </c>
      <c r="D111" s="76" t="s">
        <v>374</v>
      </c>
      <c r="E111" s="74">
        <v>1400</v>
      </c>
      <c r="F111" s="52">
        <f>E111/31*31</f>
        <v>1400</v>
      </c>
      <c r="G111" s="50">
        <f t="shared" si="12"/>
        <v>105</v>
      </c>
      <c r="H111" s="50">
        <f t="shared" si="13"/>
        <v>199.49999999999997</v>
      </c>
      <c r="I111" s="51">
        <f t="shared" si="7"/>
        <v>0</v>
      </c>
      <c r="J111" s="52"/>
      <c r="K111" s="52">
        <v>0</v>
      </c>
      <c r="L111" s="53"/>
      <c r="M111" s="54">
        <f t="shared" si="11"/>
        <v>1295</v>
      </c>
      <c r="N111" s="55">
        <f t="shared" si="9"/>
        <v>1599.5</v>
      </c>
      <c r="O111" s="33" t="s">
        <v>69</v>
      </c>
      <c r="P111" s="84" t="s">
        <v>372</v>
      </c>
      <c r="Q111" s="92" t="s">
        <v>373</v>
      </c>
      <c r="S111" s="62"/>
      <c r="T111" s="60"/>
    </row>
    <row r="112" spans="1:20" x14ac:dyDescent="0.2">
      <c r="A112" s="45">
        <v>108</v>
      </c>
      <c r="B112" s="84" t="s">
        <v>375</v>
      </c>
      <c r="C112" s="92" t="s">
        <v>376</v>
      </c>
      <c r="D112" s="76" t="s">
        <v>377</v>
      </c>
      <c r="E112" s="74">
        <v>1210</v>
      </c>
      <c r="F112" s="52">
        <f>E112/31*31</f>
        <v>1210</v>
      </c>
      <c r="G112" s="50">
        <f t="shared" si="12"/>
        <v>90.75</v>
      </c>
      <c r="H112" s="50">
        <f t="shared" si="13"/>
        <v>172.42499999999998</v>
      </c>
      <c r="I112" s="51">
        <f t="shared" si="7"/>
        <v>0</v>
      </c>
      <c r="J112" s="52"/>
      <c r="K112" s="52">
        <v>0</v>
      </c>
      <c r="L112" s="53"/>
      <c r="M112" s="54">
        <f t="shared" si="11"/>
        <v>1119.25</v>
      </c>
      <c r="N112" s="55">
        <f t="shared" si="9"/>
        <v>1382.425</v>
      </c>
      <c r="O112" s="33" t="s">
        <v>69</v>
      </c>
      <c r="P112" s="84" t="s">
        <v>375</v>
      </c>
      <c r="Q112" s="92" t="s">
        <v>376</v>
      </c>
      <c r="S112" s="62"/>
      <c r="T112" s="60"/>
    </row>
    <row r="113" spans="1:20" x14ac:dyDescent="0.2">
      <c r="A113" s="45">
        <v>109</v>
      </c>
      <c r="B113" s="84" t="s">
        <v>378</v>
      </c>
      <c r="C113" s="92" t="s">
        <v>379</v>
      </c>
      <c r="D113" s="76" t="s">
        <v>380</v>
      </c>
      <c r="E113" s="74">
        <v>570</v>
      </c>
      <c r="F113" s="52">
        <f>E113/31*31</f>
        <v>570</v>
      </c>
      <c r="G113" s="50">
        <f t="shared" si="12"/>
        <v>42.75</v>
      </c>
      <c r="H113" s="50">
        <f t="shared" si="13"/>
        <v>81.224999999999994</v>
      </c>
      <c r="I113" s="51">
        <f t="shared" si="7"/>
        <v>0</v>
      </c>
      <c r="J113" s="52"/>
      <c r="K113" s="52">
        <v>0</v>
      </c>
      <c r="L113" s="53"/>
      <c r="M113" s="54">
        <f t="shared" si="11"/>
        <v>527.25</v>
      </c>
      <c r="N113" s="55">
        <f t="shared" si="9"/>
        <v>651.22500000000002</v>
      </c>
      <c r="O113" s="33" t="s">
        <v>353</v>
      </c>
      <c r="P113" s="84" t="s">
        <v>378</v>
      </c>
      <c r="Q113" s="92" t="s">
        <v>379</v>
      </c>
      <c r="S113" s="62"/>
      <c r="T113" s="60"/>
    </row>
    <row r="114" spans="1:20" x14ac:dyDescent="0.2">
      <c r="A114" s="45">
        <v>110</v>
      </c>
      <c r="B114" s="84" t="s">
        <v>381</v>
      </c>
      <c r="C114" s="92" t="s">
        <v>382</v>
      </c>
      <c r="D114" s="76" t="s">
        <v>383</v>
      </c>
      <c r="E114" s="74">
        <v>320</v>
      </c>
      <c r="F114" s="52">
        <f>E114/31*31</f>
        <v>320</v>
      </c>
      <c r="G114" s="50">
        <f t="shared" si="12"/>
        <v>24</v>
      </c>
      <c r="H114" s="50">
        <f t="shared" si="13"/>
        <v>45.599999999999994</v>
      </c>
      <c r="I114" s="51">
        <f t="shared" si="7"/>
        <v>0</v>
      </c>
      <c r="J114" s="52"/>
      <c r="K114" s="52">
        <v>0</v>
      </c>
      <c r="L114" s="53"/>
      <c r="M114" s="54">
        <f t="shared" si="11"/>
        <v>296</v>
      </c>
      <c r="N114" s="55">
        <f t="shared" si="9"/>
        <v>365.6</v>
      </c>
      <c r="O114" s="33" t="s">
        <v>353</v>
      </c>
      <c r="P114" s="84" t="s">
        <v>381</v>
      </c>
      <c r="Q114" s="92" t="s">
        <v>382</v>
      </c>
      <c r="S114" s="58"/>
      <c r="T114" s="56"/>
    </row>
    <row r="115" spans="1:20" ht="15" thickBot="1" x14ac:dyDescent="0.25">
      <c r="A115" s="45">
        <v>111</v>
      </c>
      <c r="B115" s="84" t="s">
        <v>384</v>
      </c>
      <c r="C115" s="92" t="s">
        <v>385</v>
      </c>
      <c r="D115" s="76" t="s">
        <v>386</v>
      </c>
      <c r="E115" s="130">
        <v>550</v>
      </c>
      <c r="F115" s="131">
        <f>550/31*31</f>
        <v>550</v>
      </c>
      <c r="G115" s="132">
        <f t="shared" si="12"/>
        <v>41.25</v>
      </c>
      <c r="H115" s="132">
        <f t="shared" si="13"/>
        <v>78.375</v>
      </c>
      <c r="I115" s="51">
        <f t="shared" si="7"/>
        <v>0</v>
      </c>
      <c r="J115" s="131"/>
      <c r="K115" s="52">
        <v>0</v>
      </c>
      <c r="L115" s="133"/>
      <c r="M115" s="54">
        <f t="shared" si="11"/>
        <v>508.75</v>
      </c>
      <c r="N115" s="134">
        <f t="shared" si="9"/>
        <v>628.375</v>
      </c>
      <c r="O115" s="33" t="s">
        <v>353</v>
      </c>
      <c r="P115" s="84" t="s">
        <v>384</v>
      </c>
      <c r="Q115" s="92" t="s">
        <v>385</v>
      </c>
      <c r="S115" s="62"/>
      <c r="T115" s="60"/>
    </row>
    <row r="116" spans="1:20" x14ac:dyDescent="0.2">
      <c r="A116" s="63">
        <v>112</v>
      </c>
      <c r="B116" s="84" t="s">
        <v>387</v>
      </c>
      <c r="C116" s="92" t="s">
        <v>388</v>
      </c>
      <c r="D116" s="76" t="s">
        <v>389</v>
      </c>
      <c r="E116" s="50">
        <v>320</v>
      </c>
      <c r="F116" s="52">
        <f t="shared" ref="F116:F117" si="15">E116/31*31</f>
        <v>320</v>
      </c>
      <c r="G116" s="50">
        <f t="shared" si="12"/>
        <v>24</v>
      </c>
      <c r="H116" s="50">
        <f t="shared" si="13"/>
        <v>45.599999999999994</v>
      </c>
      <c r="I116" s="51">
        <f t="shared" si="7"/>
        <v>0</v>
      </c>
      <c r="J116" s="52"/>
      <c r="K116" s="52">
        <v>0</v>
      </c>
      <c r="L116" s="52"/>
      <c r="M116" s="54">
        <f>(F116+K116)-SUM(G116,I116,J116,L116)</f>
        <v>296</v>
      </c>
      <c r="N116" s="50">
        <f t="shared" si="9"/>
        <v>365.6</v>
      </c>
      <c r="O116" s="66" t="s">
        <v>353</v>
      </c>
      <c r="P116" s="135" t="s">
        <v>387</v>
      </c>
      <c r="Q116" s="67" t="s">
        <v>388</v>
      </c>
      <c r="S116" s="62"/>
      <c r="T116" s="60"/>
    </row>
    <row r="117" spans="1:20" x14ac:dyDescent="0.2">
      <c r="A117" s="45">
        <v>113</v>
      </c>
      <c r="B117" s="84" t="s">
        <v>390</v>
      </c>
      <c r="C117" s="92" t="s">
        <v>391</v>
      </c>
      <c r="D117" s="76" t="s">
        <v>392</v>
      </c>
      <c r="E117" s="50">
        <v>780</v>
      </c>
      <c r="F117" s="52">
        <f t="shared" si="15"/>
        <v>780</v>
      </c>
      <c r="G117" s="50">
        <f t="shared" si="12"/>
        <v>58.5</v>
      </c>
      <c r="H117" s="50">
        <f t="shared" si="13"/>
        <v>111.14999999999999</v>
      </c>
      <c r="I117" s="51">
        <f t="shared" si="7"/>
        <v>1.5</v>
      </c>
      <c r="J117" s="52"/>
      <c r="K117" s="52">
        <v>0</v>
      </c>
      <c r="L117" s="52"/>
      <c r="M117" s="54">
        <f>(F117+K117)-SUM(G117,I117,J117,L117)</f>
        <v>720</v>
      </c>
      <c r="N117" s="50">
        <f>F117+H117</f>
        <v>891.15</v>
      </c>
      <c r="O117" s="66" t="s">
        <v>353</v>
      </c>
      <c r="P117" s="135" t="s">
        <v>390</v>
      </c>
      <c r="Q117" s="67" t="s">
        <v>391</v>
      </c>
      <c r="S117" s="62"/>
      <c r="T117" s="60"/>
    </row>
    <row r="118" spans="1:20" x14ac:dyDescent="0.2">
      <c r="A118" s="45">
        <v>114</v>
      </c>
      <c r="B118" s="84" t="s">
        <v>419</v>
      </c>
      <c r="C118" s="92" t="s">
        <v>420</v>
      </c>
      <c r="D118" s="76" t="s">
        <v>274</v>
      </c>
      <c r="E118" s="50">
        <v>1065</v>
      </c>
      <c r="F118" s="52">
        <f>E118/31*29</f>
        <v>996.29032258064512</v>
      </c>
      <c r="G118" s="50">
        <f t="shared" si="12"/>
        <v>79.875</v>
      </c>
      <c r="H118" s="50">
        <f t="shared" si="13"/>
        <v>151.76249999999999</v>
      </c>
      <c r="I118" s="51">
        <f t="shared" si="7"/>
        <v>12.314516129032262</v>
      </c>
      <c r="J118" s="52"/>
      <c r="K118" s="52">
        <v>0</v>
      </c>
      <c r="L118" s="52"/>
      <c r="M118" s="54">
        <f t="shared" ref="M118:M124" si="16">(F118+K118)-SUM(G118,I118,J118,L118)</f>
        <v>904.10080645161293</v>
      </c>
      <c r="N118" s="50">
        <f>F118+H118</f>
        <v>1148.0528225806452</v>
      </c>
      <c r="O118" s="66" t="s">
        <v>353</v>
      </c>
      <c r="P118" s="84" t="s">
        <v>419</v>
      </c>
      <c r="Q118" s="108" t="s">
        <v>420</v>
      </c>
      <c r="S118" s="62"/>
      <c r="T118" s="60"/>
    </row>
    <row r="119" spans="1:20" ht="15" thickBot="1" x14ac:dyDescent="0.25">
      <c r="A119" s="45">
        <v>115</v>
      </c>
      <c r="B119" s="84" t="s">
        <v>421</v>
      </c>
      <c r="C119" s="92" t="s">
        <v>422</v>
      </c>
      <c r="D119" s="76" t="s">
        <v>423</v>
      </c>
      <c r="E119" s="50">
        <f>3650</f>
        <v>3650</v>
      </c>
      <c r="F119" s="52">
        <f>E119/31*29</f>
        <v>3414.516129032258</v>
      </c>
      <c r="G119" s="50">
        <f t="shared" si="12"/>
        <v>273.75</v>
      </c>
      <c r="H119" s="50">
        <f t="shared" si="13"/>
        <v>520.125</v>
      </c>
      <c r="I119" s="51">
        <f t="shared" si="7"/>
        <v>270.2956989247312</v>
      </c>
      <c r="J119" s="52"/>
      <c r="K119" s="52">
        <v>0</v>
      </c>
      <c r="L119" s="52"/>
      <c r="M119" s="54">
        <f t="shared" si="16"/>
        <v>2870.4704301075271</v>
      </c>
      <c r="N119" s="50">
        <f>F119+H119</f>
        <v>3934.641129032258</v>
      </c>
      <c r="O119" s="66" t="s">
        <v>345</v>
      </c>
      <c r="P119" s="84" t="s">
        <v>421</v>
      </c>
      <c r="Q119" s="108" t="s">
        <v>422</v>
      </c>
      <c r="S119" s="62"/>
      <c r="T119" s="60"/>
    </row>
    <row r="120" spans="1:20" x14ac:dyDescent="0.2">
      <c r="A120" s="63">
        <v>116</v>
      </c>
      <c r="B120" s="84" t="s">
        <v>424</v>
      </c>
      <c r="C120" s="92" t="s">
        <v>425</v>
      </c>
      <c r="D120" s="76" t="s">
        <v>426</v>
      </c>
      <c r="E120" s="50">
        <f>1560</f>
        <v>1560</v>
      </c>
      <c r="F120" s="52">
        <f>E120/31*29</f>
        <v>1459.3548387096773</v>
      </c>
      <c r="G120" s="50">
        <f>1560*0.075</f>
        <v>117</v>
      </c>
      <c r="H120" s="50">
        <f>1560*0.1425</f>
        <v>222.29999999999998</v>
      </c>
      <c r="I120" s="51">
        <f t="shared" si="7"/>
        <v>50.102150537634408</v>
      </c>
      <c r="J120" s="52"/>
      <c r="K120" s="52">
        <v>0</v>
      </c>
      <c r="L120" s="52"/>
      <c r="M120" s="54">
        <f t="shared" si="16"/>
        <v>1292.252688172043</v>
      </c>
      <c r="N120" s="50">
        <f>F120+H120</f>
        <v>1681.6548387096773</v>
      </c>
      <c r="O120" s="66" t="s">
        <v>353</v>
      </c>
      <c r="P120" s="84" t="s">
        <v>424</v>
      </c>
      <c r="Q120" s="108" t="s">
        <v>425</v>
      </c>
      <c r="S120" s="62"/>
      <c r="T120" s="60"/>
    </row>
    <row r="121" spans="1:20" x14ac:dyDescent="0.2">
      <c r="A121" s="45">
        <v>117</v>
      </c>
      <c r="B121" s="84" t="s">
        <v>427</v>
      </c>
      <c r="C121" s="92" t="s">
        <v>428</v>
      </c>
      <c r="D121" s="76" t="s">
        <v>429</v>
      </c>
      <c r="E121" s="50">
        <v>995</v>
      </c>
      <c r="F121" s="52">
        <f>E121/31*27</f>
        <v>866.61290322580635</v>
      </c>
      <c r="G121" s="50">
        <f>995*0.075</f>
        <v>74.625</v>
      </c>
      <c r="H121" s="50">
        <f>995*0.1425</f>
        <v>141.78749999999999</v>
      </c>
      <c r="I121" s="51">
        <f t="shared" si="7"/>
        <v>5.8306451612903176</v>
      </c>
      <c r="J121" s="52"/>
      <c r="K121" s="52">
        <v>0</v>
      </c>
      <c r="L121" s="52"/>
      <c r="M121" s="54">
        <f t="shared" si="16"/>
        <v>786.15725806451599</v>
      </c>
      <c r="N121" s="50">
        <f t="shared" ref="N121:N124" si="17">F121+H121</f>
        <v>1008.4004032258064</v>
      </c>
      <c r="O121" s="66" t="s">
        <v>353</v>
      </c>
      <c r="P121" s="84" t="s">
        <v>427</v>
      </c>
      <c r="Q121" s="108" t="s">
        <v>428</v>
      </c>
      <c r="S121" s="58"/>
      <c r="T121" s="56"/>
    </row>
    <row r="122" spans="1:20" x14ac:dyDescent="0.2">
      <c r="A122" s="33">
        <v>118</v>
      </c>
      <c r="B122" s="84" t="s">
        <v>430</v>
      </c>
      <c r="C122" s="92" t="s">
        <v>431</v>
      </c>
      <c r="D122" s="76" t="s">
        <v>432</v>
      </c>
      <c r="E122" s="50">
        <v>780</v>
      </c>
      <c r="F122" s="52">
        <f>E122/31*22</f>
        <v>553.54838709677415</v>
      </c>
      <c r="G122" s="50">
        <f>780*0.075</f>
        <v>58.5</v>
      </c>
      <c r="H122" s="50">
        <f>780*0.1425</f>
        <v>111.14999999999999</v>
      </c>
      <c r="I122" s="51">
        <f t="shared" si="7"/>
        <v>0</v>
      </c>
      <c r="J122" s="52"/>
      <c r="K122" s="52">
        <v>0</v>
      </c>
      <c r="L122" s="52"/>
      <c r="M122" s="54">
        <f t="shared" si="16"/>
        <v>495.04838709677415</v>
      </c>
      <c r="N122" s="50">
        <f t="shared" si="17"/>
        <v>664.69838709677413</v>
      </c>
      <c r="O122" s="66" t="s">
        <v>353</v>
      </c>
      <c r="P122" s="84" t="s">
        <v>430</v>
      </c>
      <c r="Q122" s="108" t="s">
        <v>431</v>
      </c>
      <c r="S122" s="62"/>
      <c r="T122" s="60"/>
    </row>
    <row r="123" spans="1:20" x14ac:dyDescent="0.2">
      <c r="A123" s="33">
        <v>119</v>
      </c>
      <c r="B123" s="84" t="s">
        <v>433</v>
      </c>
      <c r="C123" s="92" t="s">
        <v>434</v>
      </c>
      <c r="D123" s="76" t="s">
        <v>435</v>
      </c>
      <c r="E123" s="50">
        <v>1210</v>
      </c>
      <c r="F123" s="52">
        <f>E123/31*15</f>
        <v>585.48387096774195</v>
      </c>
      <c r="G123" s="136" t="s">
        <v>436</v>
      </c>
      <c r="H123" s="136">
        <v>0</v>
      </c>
      <c r="I123" s="51">
        <f t="shared" si="7"/>
        <v>0</v>
      </c>
      <c r="J123" s="52"/>
      <c r="K123" s="52">
        <v>0</v>
      </c>
      <c r="L123" s="52"/>
      <c r="M123" s="54">
        <f t="shared" si="16"/>
        <v>585.48387096774195</v>
      </c>
      <c r="N123" s="50">
        <f>F123+H123</f>
        <v>585.48387096774195</v>
      </c>
      <c r="O123" s="66" t="s">
        <v>353</v>
      </c>
      <c r="P123" s="135" t="s">
        <v>433</v>
      </c>
      <c r="Q123" s="92" t="s">
        <v>434</v>
      </c>
      <c r="S123" s="62"/>
      <c r="T123" s="60"/>
    </row>
    <row r="124" spans="1:20" x14ac:dyDescent="0.2">
      <c r="A124" s="33">
        <v>120</v>
      </c>
      <c r="B124" s="84" t="s">
        <v>437</v>
      </c>
      <c r="C124" s="92" t="s">
        <v>438</v>
      </c>
      <c r="D124" s="76" t="s">
        <v>439</v>
      </c>
      <c r="E124" s="50">
        <v>850</v>
      </c>
      <c r="F124" s="52">
        <f>E124/31*15</f>
        <v>411.29032258064512</v>
      </c>
      <c r="G124" s="136" t="s">
        <v>436</v>
      </c>
      <c r="H124" s="136">
        <v>0</v>
      </c>
      <c r="I124" s="51">
        <f t="shared" si="7"/>
        <v>0</v>
      </c>
      <c r="J124" s="52"/>
      <c r="K124" s="52">
        <v>0</v>
      </c>
      <c r="L124" s="52"/>
      <c r="M124" s="54">
        <f t="shared" si="16"/>
        <v>411.29032258064512</v>
      </c>
      <c r="N124" s="50">
        <f t="shared" si="17"/>
        <v>411.29032258064512</v>
      </c>
      <c r="O124" s="66" t="s">
        <v>353</v>
      </c>
      <c r="P124" s="135" t="s">
        <v>437</v>
      </c>
      <c r="Q124" s="92" t="s">
        <v>438</v>
      </c>
      <c r="S124" s="62"/>
      <c r="T124" s="60"/>
    </row>
    <row r="125" spans="1:20" ht="15.75" x14ac:dyDescent="0.25">
      <c r="B125" s="91"/>
      <c r="D125">
        <f>30-12</f>
        <v>18</v>
      </c>
      <c r="E125" s="101">
        <f>SUM(E5:E124)</f>
        <v>172850</v>
      </c>
      <c r="F125" s="101">
        <f>SUM(F5:F124)</f>
        <v>171027.09677419355</v>
      </c>
      <c r="G125" s="101">
        <f t="shared" ref="G125:N125" si="18">SUM(G5:G124)</f>
        <v>12523.5</v>
      </c>
      <c r="H125" s="101">
        <f t="shared" si="18"/>
        <v>23794.649999999991</v>
      </c>
      <c r="I125" s="101">
        <f t="shared" si="18"/>
        <v>7342.6096774193575</v>
      </c>
      <c r="J125" s="101">
        <f t="shared" si="18"/>
        <v>0</v>
      </c>
      <c r="K125" s="101">
        <f t="shared" si="18"/>
        <v>0</v>
      </c>
      <c r="L125" s="101">
        <f t="shared" si="18"/>
        <v>20</v>
      </c>
      <c r="M125" s="101">
        <f t="shared" si="18"/>
        <v>151140.9870967741</v>
      </c>
      <c r="N125" s="101">
        <f t="shared" si="18"/>
        <v>194821.7467741936</v>
      </c>
      <c r="S125"/>
    </row>
    <row r="126" spans="1:20" x14ac:dyDescent="0.2">
      <c r="B126" s="91"/>
      <c r="L126" s="102"/>
    </row>
    <row r="127" spans="1:20" ht="15" x14ac:dyDescent="0.25">
      <c r="B127" s="91"/>
      <c r="H127" s="3"/>
      <c r="I127" s="3"/>
      <c r="M127" s="103"/>
      <c r="N127" s="104"/>
    </row>
    <row r="128" spans="1:20" ht="15.75" x14ac:dyDescent="0.25">
      <c r="B128" s="91"/>
      <c r="C128" s="105" t="s">
        <v>393</v>
      </c>
      <c r="D128" s="106">
        <f>F125-D130</f>
        <v>164477.09677419355</v>
      </c>
      <c r="E128" s="107" t="s">
        <v>394</v>
      </c>
      <c r="F128" s="108">
        <v>521101</v>
      </c>
      <c r="G128" t="s">
        <v>59</v>
      </c>
      <c r="H128" s="109">
        <v>0.7</v>
      </c>
      <c r="I128" s="3">
        <v>651101</v>
      </c>
      <c r="J128" t="s">
        <v>395</v>
      </c>
      <c r="M128" s="103"/>
    </row>
    <row r="129" spans="2:19" ht="15" x14ac:dyDescent="0.25">
      <c r="B129" s="91"/>
      <c r="D129" s="106">
        <f>H125-D131</f>
        <v>22861.274999999991</v>
      </c>
      <c r="E129" s="107" t="s">
        <v>396</v>
      </c>
      <c r="F129" s="108">
        <v>521107</v>
      </c>
      <c r="G129" t="s">
        <v>59</v>
      </c>
      <c r="H129" s="110" t="s">
        <v>397</v>
      </c>
      <c r="I129" s="110" t="s">
        <v>398</v>
      </c>
      <c r="O129" s="3">
        <v>51111101</v>
      </c>
      <c r="S129" s="111">
        <v>51111107</v>
      </c>
    </row>
    <row r="130" spans="2:19" x14ac:dyDescent="0.2">
      <c r="B130" s="91"/>
      <c r="D130" s="107">
        <f>F22+F43+F47+F51+F75</f>
        <v>6550</v>
      </c>
      <c r="E130" s="107" t="s">
        <v>399</v>
      </c>
      <c r="F130" s="108">
        <v>621101</v>
      </c>
      <c r="G130" t="s">
        <v>400</v>
      </c>
      <c r="H130" s="112">
        <v>651102</v>
      </c>
      <c r="I130" s="113" t="s">
        <v>401</v>
      </c>
      <c r="J130" s="33"/>
      <c r="K130" s="33"/>
      <c r="L130">
        <v>51111101</v>
      </c>
      <c r="M130" s="62">
        <v>111111</v>
      </c>
      <c r="N130" t="s">
        <v>402</v>
      </c>
      <c r="O130" s="114">
        <v>2300</v>
      </c>
      <c r="P130" s="102"/>
      <c r="Q130" s="102"/>
      <c r="R130" s="102"/>
      <c r="S130" s="115">
        <v>327.75</v>
      </c>
    </row>
    <row r="131" spans="2:19" x14ac:dyDescent="0.2">
      <c r="D131" s="116">
        <f>H22+H43+H47+H51+H75</f>
        <v>933.375</v>
      </c>
      <c r="E131" s="107" t="s">
        <v>403</v>
      </c>
      <c r="F131" s="108">
        <v>621107</v>
      </c>
      <c r="G131" t="s">
        <v>400</v>
      </c>
      <c r="H131" s="117"/>
      <c r="I131" s="118"/>
      <c r="J131" s="118"/>
      <c r="K131" s="118"/>
      <c r="L131">
        <v>51111101</v>
      </c>
      <c r="M131" s="62">
        <v>122111</v>
      </c>
      <c r="N131" t="s">
        <v>402</v>
      </c>
      <c r="O131" s="114">
        <v>2500</v>
      </c>
      <c r="P131" s="102"/>
      <c r="Q131" s="102"/>
      <c r="R131" s="102"/>
      <c r="S131" s="115">
        <v>356.24999999999994</v>
      </c>
    </row>
    <row r="132" spans="2:19" x14ac:dyDescent="0.2">
      <c r="D132" s="116"/>
      <c r="E132" s="107" t="s">
        <v>404</v>
      </c>
      <c r="F132" s="108"/>
      <c r="H132" s="110"/>
      <c r="I132" s="118"/>
      <c r="J132" s="118"/>
      <c r="K132" s="118"/>
      <c r="L132">
        <v>51111101</v>
      </c>
      <c r="M132" s="62">
        <v>131111</v>
      </c>
      <c r="N132" t="s">
        <v>402</v>
      </c>
      <c r="O132" s="114">
        <v>8216.67</v>
      </c>
      <c r="P132" s="102"/>
      <c r="Q132" s="102"/>
      <c r="R132" s="102"/>
      <c r="S132" s="115">
        <v>897.75</v>
      </c>
    </row>
    <row r="133" spans="2:19" x14ac:dyDescent="0.2">
      <c r="D133" s="119"/>
      <c r="E133" s="120" t="s">
        <v>405</v>
      </c>
      <c r="F133" s="108"/>
      <c r="G133" t="s">
        <v>59</v>
      </c>
      <c r="H133" s="118"/>
      <c r="I133" s="118"/>
      <c r="J133" s="118"/>
      <c r="L133">
        <v>51111101</v>
      </c>
      <c r="M133" s="62">
        <v>134311</v>
      </c>
      <c r="N133" t="s">
        <v>402</v>
      </c>
      <c r="O133" s="114">
        <v>450</v>
      </c>
      <c r="P133" s="102"/>
      <c r="Q133" s="102"/>
      <c r="R133" s="102"/>
      <c r="S133" s="115">
        <v>64.13</v>
      </c>
    </row>
    <row r="134" spans="2:19" x14ac:dyDescent="0.2">
      <c r="E134" s="121" t="s">
        <v>406</v>
      </c>
      <c r="G134" t="s">
        <v>59</v>
      </c>
      <c r="H134" s="118"/>
      <c r="I134" s="118"/>
      <c r="J134" s="118"/>
      <c r="L134">
        <v>51111101</v>
      </c>
      <c r="M134" s="62">
        <v>311311</v>
      </c>
      <c r="N134" t="s">
        <v>402</v>
      </c>
      <c r="O134" s="114">
        <v>815</v>
      </c>
      <c r="P134" s="102"/>
      <c r="Q134" s="102"/>
      <c r="R134" s="102"/>
      <c r="S134" s="115">
        <v>116.14</v>
      </c>
    </row>
    <row r="135" spans="2:19" x14ac:dyDescent="0.2">
      <c r="E135" s="121"/>
      <c r="G135" t="s">
        <v>59</v>
      </c>
      <c r="L135">
        <v>51111101</v>
      </c>
      <c r="M135" s="62">
        <v>323111</v>
      </c>
      <c r="N135" t="s">
        <v>402</v>
      </c>
      <c r="O135" s="114">
        <v>61006.33</v>
      </c>
      <c r="P135" s="102"/>
      <c r="Q135" s="102"/>
      <c r="R135" s="102"/>
      <c r="S135" s="115">
        <v>8753.6299999999992</v>
      </c>
    </row>
    <row r="136" spans="2:19" x14ac:dyDescent="0.2">
      <c r="D136" s="121"/>
      <c r="E136" s="121" t="s">
        <v>407</v>
      </c>
      <c r="F136">
        <v>522111</v>
      </c>
      <c r="G136" t="s">
        <v>59</v>
      </c>
      <c r="L136">
        <v>51111101</v>
      </c>
      <c r="M136" s="77">
        <v>122311</v>
      </c>
      <c r="N136" t="s">
        <v>402</v>
      </c>
      <c r="O136" s="114">
        <v>1350</v>
      </c>
      <c r="P136" s="102"/>
      <c r="Q136" s="102"/>
      <c r="R136" s="102"/>
      <c r="S136" s="115">
        <v>192.38</v>
      </c>
    </row>
    <row r="137" spans="2:19" x14ac:dyDescent="0.2">
      <c r="D137" s="104">
        <f>SUM(D127:D136)</f>
        <v>194821.74677419354</v>
      </c>
      <c r="L137">
        <v>51111101</v>
      </c>
      <c r="M137" s="62">
        <v>325311</v>
      </c>
      <c r="N137" t="s">
        <v>402</v>
      </c>
      <c r="O137" s="114">
        <v>18776</v>
      </c>
      <c r="P137" s="102"/>
      <c r="Q137" s="102"/>
      <c r="R137" s="102"/>
      <c r="S137" s="115">
        <v>2675.56</v>
      </c>
    </row>
    <row r="138" spans="2:19" x14ac:dyDescent="0.2">
      <c r="L138">
        <v>51111101</v>
      </c>
      <c r="M138" s="77">
        <v>326111</v>
      </c>
      <c r="N138" t="s">
        <v>402</v>
      </c>
      <c r="O138" s="114">
        <v>1490</v>
      </c>
      <c r="P138" s="102"/>
      <c r="Q138" s="102"/>
      <c r="R138" s="102"/>
      <c r="S138" s="115">
        <v>212.33</v>
      </c>
    </row>
    <row r="139" spans="2:19" x14ac:dyDescent="0.2">
      <c r="E139" s="106">
        <v>118164.74099999999</v>
      </c>
      <c r="F139" s="108" t="s">
        <v>408</v>
      </c>
      <c r="G139" s="108" t="s">
        <v>409</v>
      </c>
      <c r="I139" s="121">
        <f>E149-D137</f>
        <v>-32996.246096774179</v>
      </c>
      <c r="L139">
        <v>51111101</v>
      </c>
      <c r="M139" s="122">
        <v>327111</v>
      </c>
      <c r="N139" t="s">
        <v>402</v>
      </c>
      <c r="O139" s="114">
        <v>1631</v>
      </c>
      <c r="P139" s="102"/>
      <c r="Q139" s="102"/>
      <c r="R139" s="102"/>
      <c r="S139" s="115">
        <v>161.88</v>
      </c>
    </row>
    <row r="140" spans="2:19" x14ac:dyDescent="0.2">
      <c r="E140" s="106">
        <f>G125+H125</f>
        <v>36318.149999999994</v>
      </c>
      <c r="F140" s="108" t="s">
        <v>410</v>
      </c>
      <c r="G140" s="108">
        <v>214311</v>
      </c>
      <c r="L140">
        <v>51111101</v>
      </c>
      <c r="M140" s="62">
        <v>329111</v>
      </c>
      <c r="N140" t="s">
        <v>402</v>
      </c>
      <c r="O140" s="114">
        <v>38636.81</v>
      </c>
      <c r="P140" s="102"/>
      <c r="Q140" s="102"/>
      <c r="R140" s="102"/>
      <c r="S140" s="115">
        <v>5427.96</v>
      </c>
    </row>
    <row r="141" spans="2:19" x14ac:dyDescent="0.2">
      <c r="E141" s="106">
        <f>I125</f>
        <v>7342.6096774193575</v>
      </c>
      <c r="F141" s="108" t="s">
        <v>411</v>
      </c>
      <c r="G141" s="108">
        <v>214801</v>
      </c>
      <c r="L141">
        <v>51111101</v>
      </c>
      <c r="M141" s="62">
        <v>349311</v>
      </c>
      <c r="N141" t="s">
        <v>402</v>
      </c>
      <c r="O141" s="114">
        <v>3275</v>
      </c>
      <c r="P141" s="102"/>
      <c r="Q141" s="102"/>
      <c r="R141" s="102"/>
      <c r="S141" s="115">
        <v>466.69</v>
      </c>
    </row>
    <row r="142" spans="2:19" ht="15" x14ac:dyDescent="0.25">
      <c r="E142" s="123"/>
      <c r="L142">
        <v>51111101</v>
      </c>
      <c r="M142" s="122">
        <v>318223</v>
      </c>
      <c r="N142" t="s">
        <v>402</v>
      </c>
      <c r="O142" s="114">
        <v>1560</v>
      </c>
      <c r="P142" s="124"/>
      <c r="Q142" s="124"/>
      <c r="R142" s="124">
        <f>SUBTOTAL(9,R130:R141)</f>
        <v>0</v>
      </c>
      <c r="S142" s="115">
        <v>222.3</v>
      </c>
    </row>
    <row r="143" spans="2:19" ht="15" x14ac:dyDescent="0.25">
      <c r="E143" s="123"/>
      <c r="L143">
        <v>51111101</v>
      </c>
      <c r="M143" s="122">
        <v>325411</v>
      </c>
      <c r="N143" t="s">
        <v>402</v>
      </c>
      <c r="O143" s="114">
        <v>3619</v>
      </c>
      <c r="P143" s="124"/>
      <c r="Q143" s="124"/>
      <c r="R143" s="124"/>
      <c r="S143" s="115">
        <v>515.71</v>
      </c>
    </row>
    <row r="144" spans="2:19" ht="15" x14ac:dyDescent="0.25">
      <c r="E144" s="123"/>
      <c r="K144" s="125"/>
      <c r="L144">
        <v>51111101</v>
      </c>
      <c r="M144" s="62">
        <v>318242</v>
      </c>
      <c r="N144" t="s">
        <v>402</v>
      </c>
      <c r="O144" s="114">
        <v>1530</v>
      </c>
      <c r="P144" s="124"/>
      <c r="Q144" s="124"/>
      <c r="R144" s="124"/>
      <c r="S144" s="115">
        <v>363.38</v>
      </c>
    </row>
    <row r="145" spans="5:21" ht="15" x14ac:dyDescent="0.25">
      <c r="E145" s="123"/>
      <c r="L145">
        <v>51111101</v>
      </c>
      <c r="M145" s="62">
        <v>318531</v>
      </c>
      <c r="N145" t="s">
        <v>402</v>
      </c>
      <c r="O145" s="114">
        <v>266.67</v>
      </c>
      <c r="P145" s="124"/>
      <c r="Q145" s="124"/>
      <c r="R145" s="124"/>
      <c r="S145" s="115">
        <v>45.6</v>
      </c>
    </row>
    <row r="146" spans="5:21" ht="15" x14ac:dyDescent="0.25">
      <c r="E146" s="123"/>
      <c r="L146">
        <v>51111101</v>
      </c>
      <c r="M146" s="122">
        <v>322111</v>
      </c>
      <c r="N146" t="s">
        <v>402</v>
      </c>
      <c r="O146" s="114">
        <v>1008</v>
      </c>
      <c r="P146" s="124"/>
      <c r="Q146" s="124"/>
      <c r="R146" s="124"/>
      <c r="S146" s="115">
        <v>143.63999999999999</v>
      </c>
    </row>
    <row r="147" spans="5:21" ht="15" x14ac:dyDescent="0.25">
      <c r="E147" s="123"/>
      <c r="M147" s="122"/>
      <c r="O147" s="102"/>
      <c r="P147" s="124"/>
      <c r="Q147" s="124"/>
      <c r="R147" s="124"/>
      <c r="S147" s="115"/>
    </row>
    <row r="148" spans="5:21" ht="15" x14ac:dyDescent="0.25">
      <c r="E148" s="123"/>
      <c r="M148" s="122"/>
      <c r="O148" s="102"/>
      <c r="P148" s="124"/>
      <c r="Q148" s="124"/>
      <c r="R148" s="124"/>
      <c r="S148" s="115"/>
    </row>
    <row r="149" spans="5:21" ht="15" x14ac:dyDescent="0.25">
      <c r="E149" s="126">
        <f>SUM(E139:E142)</f>
        <v>161825.50067741936</v>
      </c>
      <c r="O149" s="124">
        <f>SUBTOTAL(9,O130:O148)</f>
        <v>148430.48000000001</v>
      </c>
      <c r="P149" s="124">
        <f>SUBTOTAL(9,P130:P142)</f>
        <v>0</v>
      </c>
      <c r="Q149" s="124">
        <f>SUBTOTAL(9,Q130:Q142)</f>
        <v>0</v>
      </c>
      <c r="R149" s="124">
        <f>SUBTOTAL(9,R130:R142)</f>
        <v>0</v>
      </c>
      <c r="S149" s="124">
        <f>SUM(S130:S147)</f>
        <v>20943.079999999994</v>
      </c>
      <c r="T149" s="124"/>
      <c r="U149" s="126"/>
    </row>
    <row r="151" spans="5:21" x14ac:dyDescent="0.2">
      <c r="K151" s="103">
        <f>M125</f>
        <v>151140.9870967741</v>
      </c>
      <c r="L151" s="127">
        <v>21141201</v>
      </c>
      <c r="N151" s="128" t="s">
        <v>412</v>
      </c>
    </row>
    <row r="152" spans="5:21" x14ac:dyDescent="0.2">
      <c r="K152" s="104">
        <f>G125+H125</f>
        <v>36318.149999999994</v>
      </c>
      <c r="L152" s="127">
        <v>21141204</v>
      </c>
      <c r="N152" s="128" t="s">
        <v>413</v>
      </c>
    </row>
    <row r="153" spans="5:21" ht="15" x14ac:dyDescent="0.25">
      <c r="K153" s="104">
        <f>I125</f>
        <v>7342.6096774193575</v>
      </c>
      <c r="L153" s="111">
        <v>21141304</v>
      </c>
      <c r="N153" s="128" t="s">
        <v>414</v>
      </c>
    </row>
    <row r="154" spans="5:21" ht="15" x14ac:dyDescent="0.25">
      <c r="S154" s="129">
        <f>SUM(S151:S153)</f>
        <v>0</v>
      </c>
    </row>
    <row r="155" spans="5:21" x14ac:dyDescent="0.2">
      <c r="S155" s="115">
        <f>O149+S149</f>
        <v>169373.56</v>
      </c>
    </row>
    <row r="156" spans="5:21" x14ac:dyDescent="0.2">
      <c r="K156" s="103">
        <f>K151+K152+K153</f>
        <v>194801.74677419345</v>
      </c>
    </row>
    <row r="157" spans="5:21" x14ac:dyDescent="0.2">
      <c r="M157" s="104">
        <f>S155-K156</f>
        <v>-25428.186774193455</v>
      </c>
    </row>
  </sheetData>
  <autoFilter ref="B3:T101" xr:uid="{00000000-0001-0000-0100-000000000000}">
    <filterColumn colId="0" showButton="0"/>
    <filterColumn colId="1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</autoFilter>
  <mergeCells count="4">
    <mergeCell ref="B1:D2"/>
    <mergeCell ref="E1:E2"/>
    <mergeCell ref="B3:D3"/>
    <mergeCell ref="E3:M3"/>
  </mergeCells>
  <conditionalFormatting sqref="L151">
    <cfRule type="duplicateValues" dxfId="119" priority="10"/>
    <cfRule type="duplicateValues" dxfId="118" priority="11"/>
    <cfRule type="duplicateValues" dxfId="117" priority="12"/>
    <cfRule type="duplicateValues" dxfId="116" priority="13"/>
  </conditionalFormatting>
  <conditionalFormatting sqref="L152">
    <cfRule type="duplicateValues" dxfId="115" priority="5"/>
    <cfRule type="duplicateValues" dxfId="114" priority="6"/>
    <cfRule type="duplicateValues" dxfId="113" priority="7"/>
    <cfRule type="duplicateValues" dxfId="112" priority="8"/>
  </conditionalFormatting>
  <conditionalFormatting sqref="L153">
    <cfRule type="duplicateValues" dxfId="111" priority="2"/>
    <cfRule type="duplicateValues" dxfId="110" priority="3"/>
  </conditionalFormatting>
  <conditionalFormatting sqref="M138">
    <cfRule type="duplicateValues" dxfId="109" priority="18"/>
  </conditionalFormatting>
  <conditionalFormatting sqref="N151">
    <cfRule type="duplicateValues" dxfId="108" priority="9"/>
  </conditionalFormatting>
  <conditionalFormatting sqref="N152">
    <cfRule type="duplicateValues" dxfId="107" priority="4"/>
  </conditionalFormatting>
  <conditionalFormatting sqref="N153">
    <cfRule type="duplicateValues" dxfId="106" priority="1"/>
  </conditionalFormatting>
  <conditionalFormatting sqref="P5:P47">
    <cfRule type="duplicateValues" dxfId="105" priority="20"/>
  </conditionalFormatting>
  <conditionalFormatting sqref="S57:S71">
    <cfRule type="duplicateValues" dxfId="104" priority="19"/>
  </conditionalFormatting>
  <conditionalFormatting sqref="S129">
    <cfRule type="duplicateValues" dxfId="103" priority="14"/>
    <cfRule type="duplicateValues" dxfId="102" priority="15"/>
    <cfRule type="duplicateValues" dxfId="101" priority="16"/>
    <cfRule type="duplicateValues" dxfId="100" priority="17"/>
  </conditionalFormatting>
  <pageMargins left="0.7" right="0.7" top="0.75" bottom="0.75" header="0.3" footer="0.3"/>
  <pageSetup paperSize="9" scale="49" fitToHeight="0" orientation="landscape" r:id="rId1"/>
  <headerFooter>
    <oddFooter>&amp;C_x000D_&amp;1#&amp;"Calibri"&amp;10&amp;KFFFF00 Ejada Internal Use Only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333C3-8CA5-445C-894D-7EF902942F95}">
  <sheetPr codeName="Sheet6">
    <pageSetUpPr fitToPage="1"/>
  </sheetPr>
  <dimension ref="A1:V154"/>
  <sheetViews>
    <sheetView topLeftCell="A86" zoomScaleNormal="100" workbookViewId="0">
      <selection activeCell="B5" sqref="B5:C121"/>
    </sheetView>
  </sheetViews>
  <sheetFormatPr defaultRowHeight="14.25" x14ac:dyDescent="0.2"/>
  <cols>
    <col min="1" max="1" width="5.375" style="33" customWidth="1"/>
    <col min="2" max="2" width="10.875" style="33" customWidth="1"/>
    <col min="3" max="3" width="42.625" bestFit="1" customWidth="1"/>
    <col min="4" max="4" width="37.125" bestFit="1" customWidth="1"/>
    <col min="5" max="5" width="16.875" bestFit="1" customWidth="1"/>
    <col min="6" max="6" width="15.875" bestFit="1" customWidth="1"/>
    <col min="7" max="8" width="14.5" customWidth="1"/>
    <col min="9" max="9" width="14.125" customWidth="1"/>
    <col min="10" max="10" width="12.125" customWidth="1"/>
    <col min="11" max="11" width="15" customWidth="1"/>
    <col min="12" max="12" width="14.125" customWidth="1"/>
    <col min="13" max="13" width="17.625" customWidth="1"/>
    <col min="14" max="14" width="21" customWidth="1"/>
    <col min="15" max="15" width="10.25" customWidth="1"/>
    <col min="16" max="16" width="8.75" customWidth="1"/>
    <col min="17" max="17" width="41.625" customWidth="1"/>
    <col min="18" max="18" width="5.25" bestFit="1" customWidth="1"/>
    <col min="19" max="19" width="13.25" style="33" customWidth="1"/>
    <col min="20" max="20" width="59.375" bestFit="1" customWidth="1"/>
    <col min="21" max="21" width="12" bestFit="1" customWidth="1"/>
    <col min="23" max="23" width="8.875" customWidth="1"/>
  </cols>
  <sheetData>
    <row r="1" spans="1:20" x14ac:dyDescent="0.2">
      <c r="B1" s="198" t="s">
        <v>31</v>
      </c>
      <c r="C1" s="198"/>
      <c r="D1" s="198"/>
      <c r="E1" s="200">
        <v>45839</v>
      </c>
    </row>
    <row r="2" spans="1:20" ht="15" thickBot="1" x14ac:dyDescent="0.25">
      <c r="B2" s="199"/>
      <c r="C2" s="199"/>
      <c r="D2" s="199"/>
      <c r="E2" s="201"/>
    </row>
    <row r="3" spans="1:20" ht="18.75" thickBot="1" x14ac:dyDescent="0.25">
      <c r="B3" s="202" t="s">
        <v>32</v>
      </c>
      <c r="C3" s="203"/>
      <c r="D3" s="204"/>
      <c r="E3" s="203" t="s">
        <v>33</v>
      </c>
      <c r="F3" s="203"/>
      <c r="G3" s="203"/>
      <c r="H3" s="203"/>
      <c r="I3" s="203"/>
      <c r="J3" s="203"/>
      <c r="K3" s="203"/>
      <c r="L3" s="203"/>
      <c r="M3" s="204"/>
      <c r="N3" s="34" t="s">
        <v>34</v>
      </c>
      <c r="T3" s="33"/>
    </row>
    <row r="4" spans="1:20" ht="45" x14ac:dyDescent="0.2">
      <c r="A4" s="35" t="s">
        <v>35</v>
      </c>
      <c r="B4" s="35" t="s">
        <v>36</v>
      </c>
      <c r="C4" s="36" t="s">
        <v>37</v>
      </c>
      <c r="D4" s="37" t="s">
        <v>38</v>
      </c>
      <c r="E4" s="38" t="s">
        <v>13</v>
      </c>
      <c r="F4" s="39" t="s">
        <v>39</v>
      </c>
      <c r="G4" s="40" t="s">
        <v>40</v>
      </c>
      <c r="H4" s="40" t="s">
        <v>41</v>
      </c>
      <c r="I4" s="39" t="s">
        <v>23</v>
      </c>
      <c r="J4" s="39" t="s">
        <v>24</v>
      </c>
      <c r="K4" s="39" t="s">
        <v>42</v>
      </c>
      <c r="L4" s="39" t="s">
        <v>25</v>
      </c>
      <c r="M4" s="37" t="s">
        <v>43</v>
      </c>
      <c r="N4" s="41" t="s">
        <v>44</v>
      </c>
      <c r="O4" s="42" t="s">
        <v>45</v>
      </c>
      <c r="P4" s="43" t="s">
        <v>46</v>
      </c>
      <c r="Q4" s="43" t="s">
        <v>47</v>
      </c>
      <c r="R4" s="43" t="s">
        <v>48</v>
      </c>
      <c r="S4" s="43" t="s">
        <v>49</v>
      </c>
      <c r="T4" s="44" t="s">
        <v>50</v>
      </c>
    </row>
    <row r="5" spans="1:20" x14ac:dyDescent="0.2">
      <c r="A5" s="45">
        <v>1</v>
      </c>
      <c r="B5" s="45" t="s">
        <v>51</v>
      </c>
      <c r="C5" s="46" t="s">
        <v>52</v>
      </c>
      <c r="D5" s="47" t="s">
        <v>53</v>
      </c>
      <c r="E5" s="48">
        <v>745</v>
      </c>
      <c r="F5" s="49">
        <v>745</v>
      </c>
      <c r="G5" s="50">
        <f>E5*0.075</f>
        <v>55.875</v>
      </c>
      <c r="H5" s="50">
        <f>E5*0.1425</f>
        <v>106.16249999999999</v>
      </c>
      <c r="I5" s="51">
        <f t="shared" ref="I5:I19" si="0">(IF((O5="No"),(IF((($F5*12)-9000)&lt;0,0,(IF((($F5*12)-9000)&gt;20000,(5000*5%+5000*10%+5000*15%+5000*20%+((($F5*12)-9000)-20000)*25%),IF((($F5*12)-9000)&gt;15000,(5000*5%+5000*10%+5000*15%+((($F5*12)-9000)-15000)*20%),IF((($F5*12)-9000)&gt;10000,(5000*5%+5000*10%+((($F5*12)-9000)-10000)*15%),IF((($F5*12)-9000)&gt;5000,(5000*5%+((($F5*12)-9000)-5000)*10%),IF((($F5*12)-9000)&lt;5000,(($F5*12)-9000)*5%)))))))),((IF((($F5*12)-18000)&lt;0,0,(IF((($F5*12)-18000)&gt;20000,(5000*5%+5000*10%+5000*15%+5000*20%+((($F5*12)-18000)-20000)*25%),IF((($F5*12)-18000)&gt;15000,(5000*5%+5000*10%+5000*15%+((($F5*12)-18000)-15000)*20%),IF((($F5*12)-18000)&gt;10000,(5000*5%+5000*10%+((($F5*12)-18000)-10000)*15%),IF((($F5*12)-18000)&gt;5000,(5000*5%+((($F5*12)-18000)-5000)*10%),IF((($F5*12)-18000)&lt;5000,(($F5*12)-18000)*5%))))))))))/12)</f>
        <v>0</v>
      </c>
      <c r="J5" s="52"/>
      <c r="K5" s="52">
        <v>0</v>
      </c>
      <c r="L5" s="53"/>
      <c r="M5" s="54">
        <f t="shared" ref="M5:M36" si="1">(F5+K5)-SUM(G5,I5,J5,L5)</f>
        <v>689.125</v>
      </c>
      <c r="N5" s="55">
        <f t="shared" ref="N5:N36" si="2">F5+H5</f>
        <v>851.16250000000002</v>
      </c>
      <c r="O5" s="33" t="s">
        <v>54</v>
      </c>
      <c r="P5" s="56" t="s">
        <v>51</v>
      </c>
      <c r="Q5" s="56" t="s">
        <v>52</v>
      </c>
      <c r="R5" s="57" t="s">
        <v>55</v>
      </c>
      <c r="S5" s="58">
        <v>329111</v>
      </c>
      <c r="T5" s="56" t="s">
        <v>56</v>
      </c>
    </row>
    <row r="6" spans="1:20" x14ac:dyDescent="0.2">
      <c r="A6" s="45">
        <v>2</v>
      </c>
      <c r="B6" s="45" t="s">
        <v>57</v>
      </c>
      <c r="C6" s="46" t="s">
        <v>58</v>
      </c>
      <c r="D6" s="59" t="s">
        <v>53</v>
      </c>
      <c r="E6" s="48">
        <f>1583+475</f>
        <v>2058</v>
      </c>
      <c r="F6" s="49">
        <f>E6</f>
        <v>2058</v>
      </c>
      <c r="G6" s="50">
        <f>1583*0.075</f>
        <v>118.72499999999999</v>
      </c>
      <c r="H6" s="50">
        <f>1583*0.1425</f>
        <v>225.57749999999999</v>
      </c>
      <c r="I6" s="51">
        <f t="shared" si="0"/>
        <v>136.6</v>
      </c>
      <c r="J6" s="52"/>
      <c r="K6" s="52">
        <v>0</v>
      </c>
      <c r="L6" s="53"/>
      <c r="M6" s="54">
        <f t="shared" si="1"/>
        <v>1802.675</v>
      </c>
      <c r="N6" s="55">
        <f t="shared" si="2"/>
        <v>2283.5774999999999</v>
      </c>
      <c r="O6" s="33" t="s">
        <v>54</v>
      </c>
      <c r="P6" s="60" t="s">
        <v>57</v>
      </c>
      <c r="Q6" s="60" t="s">
        <v>58</v>
      </c>
      <c r="R6" s="61" t="s">
        <v>59</v>
      </c>
      <c r="S6" s="62">
        <v>329111</v>
      </c>
      <c r="T6" s="60" t="s">
        <v>56</v>
      </c>
    </row>
    <row r="7" spans="1:20" ht="15" thickBot="1" x14ac:dyDescent="0.25">
      <c r="A7" s="45">
        <v>3</v>
      </c>
      <c r="B7" s="45" t="s">
        <v>60</v>
      </c>
      <c r="C7" s="46" t="s">
        <v>61</v>
      </c>
      <c r="D7" s="47" t="s">
        <v>62</v>
      </c>
      <c r="E7" s="48">
        <v>2755</v>
      </c>
      <c r="F7" s="49">
        <v>2755</v>
      </c>
      <c r="G7" s="50">
        <f t="shared" ref="G7:G38" si="3">E7*0.075</f>
        <v>206.625</v>
      </c>
      <c r="H7" s="50">
        <f t="shared" ref="H7:H38" si="4">E7*0.1425</f>
        <v>392.58749999999998</v>
      </c>
      <c r="I7" s="51">
        <f t="shared" si="0"/>
        <v>292.91666666666669</v>
      </c>
      <c r="J7" s="52"/>
      <c r="K7" s="52">
        <v>0</v>
      </c>
      <c r="L7" s="53"/>
      <c r="M7" s="54">
        <f t="shared" si="1"/>
        <v>2255.4583333333335</v>
      </c>
      <c r="N7" s="55">
        <f t="shared" si="2"/>
        <v>3147.5875000000001</v>
      </c>
      <c r="O7" s="33" t="s">
        <v>54</v>
      </c>
      <c r="P7" s="60" t="s">
        <v>60</v>
      </c>
      <c r="Q7" s="60" t="s">
        <v>61</v>
      </c>
      <c r="R7" s="61" t="s">
        <v>59</v>
      </c>
      <c r="S7" s="62">
        <v>323111</v>
      </c>
      <c r="T7" s="60" t="s">
        <v>56</v>
      </c>
    </row>
    <row r="8" spans="1:20" x14ac:dyDescent="0.2">
      <c r="A8" s="63">
        <v>4</v>
      </c>
      <c r="B8" s="45" t="s">
        <v>63</v>
      </c>
      <c r="C8" s="46" t="s">
        <v>64</v>
      </c>
      <c r="D8" s="47" t="s">
        <v>65</v>
      </c>
      <c r="E8" s="48">
        <v>900</v>
      </c>
      <c r="F8" s="49">
        <v>900</v>
      </c>
      <c r="G8" s="50">
        <f t="shared" si="3"/>
        <v>67.5</v>
      </c>
      <c r="H8" s="50">
        <f t="shared" si="4"/>
        <v>128.25</v>
      </c>
      <c r="I8" s="51">
        <f t="shared" si="0"/>
        <v>7.5</v>
      </c>
      <c r="J8" s="52"/>
      <c r="K8" s="52">
        <v>0</v>
      </c>
      <c r="L8" s="53"/>
      <c r="M8" s="54">
        <f t="shared" si="1"/>
        <v>825</v>
      </c>
      <c r="N8" s="55">
        <f t="shared" si="2"/>
        <v>1028.25</v>
      </c>
      <c r="O8" s="33" t="s">
        <v>54</v>
      </c>
      <c r="P8" s="60" t="s">
        <v>63</v>
      </c>
      <c r="Q8" s="60" t="s">
        <v>64</v>
      </c>
      <c r="R8" s="61" t="s">
        <v>59</v>
      </c>
      <c r="S8" s="62">
        <v>323111</v>
      </c>
      <c r="T8" s="60" t="s">
        <v>56</v>
      </c>
    </row>
    <row r="9" spans="1:20" x14ac:dyDescent="0.2">
      <c r="A9" s="45">
        <v>5</v>
      </c>
      <c r="B9" s="45" t="s">
        <v>66</v>
      </c>
      <c r="C9" s="46" t="s">
        <v>67</v>
      </c>
      <c r="D9" s="47" t="s">
        <v>68</v>
      </c>
      <c r="E9" s="48">
        <v>2428</v>
      </c>
      <c r="F9" s="49">
        <v>2428</v>
      </c>
      <c r="G9" s="50">
        <f t="shared" si="3"/>
        <v>182.1</v>
      </c>
      <c r="H9" s="50">
        <f t="shared" si="4"/>
        <v>345.98999999999995</v>
      </c>
      <c r="I9" s="51">
        <f t="shared" si="0"/>
        <v>76.7</v>
      </c>
      <c r="J9" s="52"/>
      <c r="K9" s="52">
        <v>0</v>
      </c>
      <c r="L9" s="53"/>
      <c r="M9" s="54">
        <f t="shared" si="1"/>
        <v>2169.1999999999998</v>
      </c>
      <c r="N9" s="55">
        <f t="shared" si="2"/>
        <v>2773.99</v>
      </c>
      <c r="O9" s="33" t="s">
        <v>69</v>
      </c>
      <c r="P9" s="60" t="s">
        <v>66</v>
      </c>
      <c r="Q9" s="60" t="s">
        <v>67</v>
      </c>
      <c r="R9" s="61" t="s">
        <v>59</v>
      </c>
      <c r="S9" s="62">
        <v>329111</v>
      </c>
      <c r="T9" s="60" t="s">
        <v>56</v>
      </c>
    </row>
    <row r="10" spans="1:20" x14ac:dyDescent="0.2">
      <c r="A10" s="45">
        <v>6</v>
      </c>
      <c r="B10" s="45" t="s">
        <v>70</v>
      </c>
      <c r="C10" s="46" t="s">
        <v>71</v>
      </c>
      <c r="D10" s="47" t="s">
        <v>65</v>
      </c>
      <c r="E10" s="48">
        <v>1165</v>
      </c>
      <c r="F10" s="49">
        <v>1165</v>
      </c>
      <c r="G10" s="50">
        <f t="shared" si="3"/>
        <v>87.375</v>
      </c>
      <c r="H10" s="50">
        <f t="shared" si="4"/>
        <v>166.01249999999999</v>
      </c>
      <c r="I10" s="51">
        <f t="shared" si="0"/>
        <v>20.75</v>
      </c>
      <c r="J10" s="52"/>
      <c r="K10" s="52">
        <v>0</v>
      </c>
      <c r="L10" s="53"/>
      <c r="M10" s="54">
        <f t="shared" si="1"/>
        <v>1056.875</v>
      </c>
      <c r="N10" s="55">
        <f t="shared" si="2"/>
        <v>1331.0125</v>
      </c>
      <c r="O10" s="33" t="s">
        <v>54</v>
      </c>
      <c r="P10" s="60" t="s">
        <v>70</v>
      </c>
      <c r="Q10" s="60" t="s">
        <v>71</v>
      </c>
      <c r="R10" s="61" t="s">
        <v>59</v>
      </c>
      <c r="S10" s="62">
        <v>323111</v>
      </c>
      <c r="T10" s="60" t="s">
        <v>56</v>
      </c>
    </row>
    <row r="11" spans="1:20" x14ac:dyDescent="0.2">
      <c r="A11" s="45">
        <v>7</v>
      </c>
      <c r="B11" s="45" t="s">
        <v>72</v>
      </c>
      <c r="C11" s="46" t="s">
        <v>73</v>
      </c>
      <c r="D11" s="47" t="s">
        <v>74</v>
      </c>
      <c r="E11" s="48">
        <v>2540</v>
      </c>
      <c r="F11" s="49">
        <v>2540</v>
      </c>
      <c r="G11" s="50">
        <f t="shared" si="3"/>
        <v>190.5</v>
      </c>
      <c r="H11" s="50">
        <f t="shared" si="4"/>
        <v>361.95</v>
      </c>
      <c r="I11" s="51">
        <f t="shared" si="0"/>
        <v>93.5</v>
      </c>
      <c r="J11" s="52"/>
      <c r="K11" s="52">
        <v>0</v>
      </c>
      <c r="L11" s="53"/>
      <c r="M11" s="54">
        <f t="shared" si="1"/>
        <v>2256</v>
      </c>
      <c r="N11" s="55">
        <f t="shared" si="2"/>
        <v>2901.95</v>
      </c>
      <c r="O11" s="33" t="s">
        <v>69</v>
      </c>
      <c r="P11" s="60" t="s">
        <v>72</v>
      </c>
      <c r="Q11" s="60" t="s">
        <v>73</v>
      </c>
      <c r="R11" s="61" t="s">
        <v>59</v>
      </c>
      <c r="S11" s="62">
        <v>323111</v>
      </c>
      <c r="T11" s="60" t="s">
        <v>56</v>
      </c>
    </row>
    <row r="12" spans="1:20" x14ac:dyDescent="0.2">
      <c r="A12" s="45">
        <v>8</v>
      </c>
      <c r="B12" s="64" t="s">
        <v>75</v>
      </c>
      <c r="C12" s="46" t="s">
        <v>76</v>
      </c>
      <c r="D12" s="47" t="s">
        <v>77</v>
      </c>
      <c r="E12" s="65">
        <v>2273</v>
      </c>
      <c r="F12" s="50">
        <v>2273</v>
      </c>
      <c r="G12" s="50">
        <f t="shared" si="3"/>
        <v>170.47499999999999</v>
      </c>
      <c r="H12" s="50">
        <f t="shared" si="4"/>
        <v>323.90249999999997</v>
      </c>
      <c r="I12" s="51">
        <f t="shared" si="0"/>
        <v>56.466666666666669</v>
      </c>
      <c r="J12" s="52"/>
      <c r="K12" s="52">
        <v>0</v>
      </c>
      <c r="L12" s="53"/>
      <c r="M12" s="54">
        <f t="shared" si="1"/>
        <v>2046.0583333333334</v>
      </c>
      <c r="N12" s="55">
        <f t="shared" si="2"/>
        <v>2596.9025000000001</v>
      </c>
      <c r="O12" s="33" t="s">
        <v>69</v>
      </c>
      <c r="P12" s="60" t="s">
        <v>75</v>
      </c>
      <c r="Q12" s="60" t="s">
        <v>76</v>
      </c>
      <c r="R12" s="61" t="s">
        <v>59</v>
      </c>
      <c r="S12" s="62">
        <v>323111</v>
      </c>
      <c r="T12" s="60" t="s">
        <v>56</v>
      </c>
    </row>
    <row r="13" spans="1:20" x14ac:dyDescent="0.2">
      <c r="A13" s="45">
        <v>9</v>
      </c>
      <c r="B13" s="66" t="s">
        <v>78</v>
      </c>
      <c r="C13" s="46" t="s">
        <v>79</v>
      </c>
      <c r="D13" s="67" t="s">
        <v>74</v>
      </c>
      <c r="E13" s="68">
        <v>2350</v>
      </c>
      <c r="F13" s="52">
        <v>2350</v>
      </c>
      <c r="G13" s="50">
        <f t="shared" si="3"/>
        <v>176.25</v>
      </c>
      <c r="H13" s="50">
        <f t="shared" si="4"/>
        <v>334.87499999999994</v>
      </c>
      <c r="I13" s="51">
        <f t="shared" si="0"/>
        <v>195</v>
      </c>
      <c r="J13" s="52"/>
      <c r="K13" s="52">
        <v>0</v>
      </c>
      <c r="L13" s="53"/>
      <c r="M13" s="54">
        <f t="shared" si="1"/>
        <v>1978.75</v>
      </c>
      <c r="N13" s="55">
        <f t="shared" si="2"/>
        <v>2684.875</v>
      </c>
      <c r="O13" s="33" t="s">
        <v>54</v>
      </c>
      <c r="P13" s="60" t="s">
        <v>78</v>
      </c>
      <c r="Q13" s="60" t="s">
        <v>79</v>
      </c>
      <c r="R13" s="61" t="s">
        <v>59</v>
      </c>
      <c r="S13" s="62">
        <v>323111</v>
      </c>
      <c r="T13" s="60" t="s">
        <v>56</v>
      </c>
    </row>
    <row r="14" spans="1:20" ht="15" thickBot="1" x14ac:dyDescent="0.25">
      <c r="A14" s="45">
        <v>10</v>
      </c>
      <c r="B14" s="66" t="s">
        <v>80</v>
      </c>
      <c r="C14" s="46" t="s">
        <v>81</v>
      </c>
      <c r="D14" s="67" t="s">
        <v>82</v>
      </c>
      <c r="E14" s="68">
        <v>710</v>
      </c>
      <c r="F14" s="52">
        <v>710</v>
      </c>
      <c r="G14" s="50">
        <f t="shared" si="3"/>
        <v>53.25</v>
      </c>
      <c r="H14" s="50">
        <f t="shared" si="4"/>
        <v>101.175</v>
      </c>
      <c r="I14" s="51">
        <f t="shared" si="0"/>
        <v>0</v>
      </c>
      <c r="J14" s="52"/>
      <c r="K14" s="52">
        <v>0</v>
      </c>
      <c r="L14" s="53"/>
      <c r="M14" s="54">
        <f t="shared" si="1"/>
        <v>656.75</v>
      </c>
      <c r="N14" s="55">
        <f t="shared" si="2"/>
        <v>811.17499999999995</v>
      </c>
      <c r="O14" s="33" t="s">
        <v>54</v>
      </c>
      <c r="P14" s="60" t="s">
        <v>80</v>
      </c>
      <c r="Q14" s="60" t="s">
        <v>81</v>
      </c>
      <c r="R14" s="61" t="s">
        <v>59</v>
      </c>
      <c r="S14" s="62">
        <v>329111</v>
      </c>
      <c r="T14" s="60" t="s">
        <v>56</v>
      </c>
    </row>
    <row r="15" spans="1:20" x14ac:dyDescent="0.2">
      <c r="A15" s="63">
        <v>11</v>
      </c>
      <c r="B15" s="66" t="s">
        <v>83</v>
      </c>
      <c r="C15" s="46" t="s">
        <v>84</v>
      </c>
      <c r="D15" s="67" t="s">
        <v>85</v>
      </c>
      <c r="E15" s="68">
        <v>1535</v>
      </c>
      <c r="F15" s="52">
        <v>1535</v>
      </c>
      <c r="G15" s="50">
        <f t="shared" si="3"/>
        <v>115.125</v>
      </c>
      <c r="H15" s="50">
        <f t="shared" si="4"/>
        <v>218.73749999999998</v>
      </c>
      <c r="I15" s="51">
        <f t="shared" si="0"/>
        <v>57.666666666666664</v>
      </c>
      <c r="J15" s="52"/>
      <c r="K15" s="52">
        <v>0</v>
      </c>
      <c r="L15" s="53"/>
      <c r="M15" s="54">
        <f t="shared" si="1"/>
        <v>1362.2083333333333</v>
      </c>
      <c r="N15" s="55">
        <f t="shared" si="2"/>
        <v>1753.7375</v>
      </c>
      <c r="O15" s="33" t="s">
        <v>54</v>
      </c>
      <c r="P15" s="60" t="s">
        <v>83</v>
      </c>
      <c r="Q15" s="60" t="s">
        <v>84</v>
      </c>
      <c r="R15" s="61" t="s">
        <v>55</v>
      </c>
      <c r="S15" s="62">
        <v>323111</v>
      </c>
      <c r="T15" s="60" t="s">
        <v>56</v>
      </c>
    </row>
    <row r="16" spans="1:20" x14ac:dyDescent="0.2">
      <c r="A16" s="45">
        <v>12</v>
      </c>
      <c r="B16" s="66" t="s">
        <v>86</v>
      </c>
      <c r="C16" s="46" t="s">
        <v>87</v>
      </c>
      <c r="D16" s="67" t="s">
        <v>65</v>
      </c>
      <c r="E16" s="69">
        <v>1235</v>
      </c>
      <c r="F16" s="49">
        <v>1235</v>
      </c>
      <c r="G16" s="50">
        <f t="shared" si="3"/>
        <v>92.625</v>
      </c>
      <c r="H16" s="50">
        <f t="shared" si="4"/>
        <v>175.98749999999998</v>
      </c>
      <c r="I16" s="51">
        <f t="shared" si="0"/>
        <v>27.666666666666668</v>
      </c>
      <c r="J16" s="52"/>
      <c r="K16" s="52">
        <v>0</v>
      </c>
      <c r="L16" s="53"/>
      <c r="M16" s="54">
        <f t="shared" si="1"/>
        <v>1114.7083333333333</v>
      </c>
      <c r="N16" s="55">
        <f t="shared" si="2"/>
        <v>1410.9875</v>
      </c>
      <c r="O16" s="33" t="s">
        <v>54</v>
      </c>
      <c r="P16" s="60" t="s">
        <v>86</v>
      </c>
      <c r="Q16" s="60" t="s">
        <v>87</v>
      </c>
      <c r="R16" s="61" t="s">
        <v>55</v>
      </c>
      <c r="S16" s="62">
        <v>323111</v>
      </c>
      <c r="T16" s="60" t="s">
        <v>56</v>
      </c>
    </row>
    <row r="17" spans="1:20" x14ac:dyDescent="0.2">
      <c r="A17" s="45">
        <v>13</v>
      </c>
      <c r="B17" s="66" t="s">
        <v>88</v>
      </c>
      <c r="C17" s="46" t="s">
        <v>89</v>
      </c>
      <c r="D17" s="67" t="s">
        <v>82</v>
      </c>
      <c r="E17" s="69">
        <v>1000</v>
      </c>
      <c r="F17" s="49">
        <v>1000</v>
      </c>
      <c r="G17" s="50">
        <f t="shared" si="3"/>
        <v>75</v>
      </c>
      <c r="H17" s="50">
        <f t="shared" si="4"/>
        <v>142.5</v>
      </c>
      <c r="I17" s="51">
        <f t="shared" si="0"/>
        <v>12.5</v>
      </c>
      <c r="J17" s="52"/>
      <c r="K17" s="52">
        <v>0</v>
      </c>
      <c r="L17" s="53"/>
      <c r="M17" s="54">
        <f t="shared" si="1"/>
        <v>912.5</v>
      </c>
      <c r="N17" s="55">
        <f t="shared" si="2"/>
        <v>1142.5</v>
      </c>
      <c r="O17" s="33" t="s">
        <v>54</v>
      </c>
      <c r="P17" s="60" t="s">
        <v>88</v>
      </c>
      <c r="Q17" s="60" t="s">
        <v>89</v>
      </c>
      <c r="R17" s="61" t="s">
        <v>55</v>
      </c>
      <c r="S17" s="62">
        <v>329111</v>
      </c>
      <c r="T17" s="60" t="s">
        <v>56</v>
      </c>
    </row>
    <row r="18" spans="1:20" x14ac:dyDescent="0.2">
      <c r="A18" s="45">
        <v>14</v>
      </c>
      <c r="B18" s="45" t="s">
        <v>90</v>
      </c>
      <c r="C18" s="46" t="s">
        <v>91</v>
      </c>
      <c r="D18" s="70" t="s">
        <v>53</v>
      </c>
      <c r="E18" s="69">
        <v>1470</v>
      </c>
      <c r="F18" s="49">
        <v>1470</v>
      </c>
      <c r="G18" s="50">
        <f t="shared" si="3"/>
        <v>110.25</v>
      </c>
      <c r="H18" s="50">
        <f t="shared" si="4"/>
        <v>209.47499999999999</v>
      </c>
      <c r="I18" s="51">
        <f t="shared" si="0"/>
        <v>51.166666666666664</v>
      </c>
      <c r="J18" s="52"/>
      <c r="K18" s="52">
        <v>0</v>
      </c>
      <c r="L18" s="53"/>
      <c r="M18" s="54">
        <f t="shared" si="1"/>
        <v>1308.5833333333333</v>
      </c>
      <c r="N18" s="55">
        <f t="shared" si="2"/>
        <v>1679.4749999999999</v>
      </c>
      <c r="O18" s="33" t="s">
        <v>54</v>
      </c>
      <c r="P18" s="60" t="s">
        <v>90</v>
      </c>
      <c r="Q18" s="60" t="s">
        <v>91</v>
      </c>
      <c r="R18" s="61" t="s">
        <v>55</v>
      </c>
      <c r="S18" s="62">
        <v>329111</v>
      </c>
      <c r="T18" s="60" t="s">
        <v>56</v>
      </c>
    </row>
    <row r="19" spans="1:20" x14ac:dyDescent="0.2">
      <c r="A19" s="45">
        <v>15</v>
      </c>
      <c r="B19" s="45" t="s">
        <v>92</v>
      </c>
      <c r="C19" s="46" t="s">
        <v>93</v>
      </c>
      <c r="D19" s="70" t="s">
        <v>94</v>
      </c>
      <c r="E19" s="69">
        <v>2840</v>
      </c>
      <c r="F19" s="49">
        <v>2840</v>
      </c>
      <c r="G19" s="50">
        <f t="shared" si="3"/>
        <v>213</v>
      </c>
      <c r="H19" s="50">
        <f t="shared" si="4"/>
        <v>404.7</v>
      </c>
      <c r="I19" s="51">
        <f t="shared" si="0"/>
        <v>143</v>
      </c>
      <c r="J19" s="52"/>
      <c r="K19" s="52">
        <v>0</v>
      </c>
      <c r="L19" s="53"/>
      <c r="M19" s="54">
        <f t="shared" si="1"/>
        <v>2484</v>
      </c>
      <c r="N19" s="55">
        <f t="shared" si="2"/>
        <v>3244.7</v>
      </c>
      <c r="O19" s="33" t="s">
        <v>69</v>
      </c>
      <c r="P19" s="60" t="s">
        <v>92</v>
      </c>
      <c r="Q19" s="60" t="s">
        <v>93</v>
      </c>
      <c r="R19" s="61" t="s">
        <v>55</v>
      </c>
      <c r="S19" s="62">
        <v>329111</v>
      </c>
      <c r="T19" s="60" t="s">
        <v>56</v>
      </c>
    </row>
    <row r="20" spans="1:20" x14ac:dyDescent="0.2">
      <c r="A20" s="45">
        <v>16</v>
      </c>
      <c r="B20" s="45" t="s">
        <v>95</v>
      </c>
      <c r="C20" s="46" t="s">
        <v>96</v>
      </c>
      <c r="D20" s="70" t="s">
        <v>97</v>
      </c>
      <c r="E20" s="68">
        <v>925</v>
      </c>
      <c r="F20" s="52">
        <f>925/31*17</f>
        <v>507.25806451612902</v>
      </c>
      <c r="G20" s="50">
        <f t="shared" si="3"/>
        <v>69.375</v>
      </c>
      <c r="H20" s="50">
        <f t="shared" si="4"/>
        <v>131.8125</v>
      </c>
      <c r="I20" s="53">
        <f>53.489</f>
        <v>53.488999999999997</v>
      </c>
      <c r="J20" s="52"/>
      <c r="K20" s="52">
        <v>0</v>
      </c>
      <c r="L20" s="53"/>
      <c r="M20" s="54">
        <f t="shared" si="1"/>
        <v>384.39406451612899</v>
      </c>
      <c r="N20" s="55">
        <f t="shared" si="2"/>
        <v>639.07056451612902</v>
      </c>
      <c r="O20" s="33" t="s">
        <v>54</v>
      </c>
      <c r="P20" s="60" t="s">
        <v>95</v>
      </c>
      <c r="Q20" s="60" t="s">
        <v>96</v>
      </c>
      <c r="R20" s="61" t="s">
        <v>59</v>
      </c>
      <c r="S20" s="62">
        <v>323111</v>
      </c>
      <c r="T20" s="60" t="s">
        <v>56</v>
      </c>
    </row>
    <row r="21" spans="1:20" ht="15" thickBot="1" x14ac:dyDescent="0.25">
      <c r="A21" s="45">
        <v>17</v>
      </c>
      <c r="B21" s="45" t="s">
        <v>98</v>
      </c>
      <c r="C21" s="46" t="s">
        <v>99</v>
      </c>
      <c r="D21" s="70" t="s">
        <v>100</v>
      </c>
      <c r="E21" s="68">
        <v>1675</v>
      </c>
      <c r="F21" s="52">
        <v>1675</v>
      </c>
      <c r="G21" s="50">
        <f t="shared" si="3"/>
        <v>125.625</v>
      </c>
      <c r="H21" s="50">
        <f t="shared" si="4"/>
        <v>238.68749999999997</v>
      </c>
      <c r="I21" s="51">
        <f t="shared" ref="I21:I52" si="5">(IF((O21="No"),(IF((($F21*12)-9000)&lt;0,0,(IF((($F21*12)-9000)&gt;20000,(5000*5%+5000*10%+5000*15%+5000*20%+((($F21*12)-9000)-20000)*25%),IF((($F21*12)-9000)&gt;15000,(5000*5%+5000*10%+5000*15%+((($F21*12)-9000)-15000)*20%),IF((($F21*12)-9000)&gt;10000,(5000*5%+5000*10%+((($F21*12)-9000)-10000)*15%),IF((($F21*12)-9000)&gt;5000,(5000*5%+((($F21*12)-9000)-5000)*10%),IF((($F21*12)-9000)&lt;5000,(($F21*12)-9000)*5%)))))))),((IF((($F21*12)-18000)&lt;0,0,(IF((($F21*12)-18000)&gt;20000,(5000*5%+5000*10%+5000*15%+5000*20%+((($F21*12)-18000)-20000)*25%),IF((($F21*12)-18000)&gt;15000,(5000*5%+5000*10%+5000*15%+((($F21*12)-18000)-15000)*20%),IF((($F21*12)-18000)&gt;10000,(5000*5%+5000*10%+((($F21*12)-18000)-10000)*15%),IF((($F21*12)-18000)&gt;5000,(5000*5%+((($F21*12)-18000)-5000)*10%),IF((($F21*12)-18000)&lt;5000,(($F21*12)-18000)*5%))))))))))/12)</f>
        <v>8.75</v>
      </c>
      <c r="J21" s="52"/>
      <c r="K21" s="52">
        <v>0</v>
      </c>
      <c r="L21" s="53"/>
      <c r="M21" s="54">
        <f t="shared" si="1"/>
        <v>1540.625</v>
      </c>
      <c r="N21" s="55">
        <f t="shared" si="2"/>
        <v>1913.6875</v>
      </c>
      <c r="O21" s="33" t="s">
        <v>69</v>
      </c>
      <c r="P21" s="60" t="s">
        <v>98</v>
      </c>
      <c r="Q21" s="60" t="s">
        <v>99</v>
      </c>
      <c r="R21" s="61" t="s">
        <v>101</v>
      </c>
      <c r="S21" s="62">
        <v>349311</v>
      </c>
      <c r="T21" s="60" t="s">
        <v>102</v>
      </c>
    </row>
    <row r="22" spans="1:20" x14ac:dyDescent="0.2">
      <c r="A22" s="63">
        <v>18</v>
      </c>
      <c r="B22" s="45" t="s">
        <v>103</v>
      </c>
      <c r="C22" s="46" t="s">
        <v>104</v>
      </c>
      <c r="D22" s="70" t="s">
        <v>82</v>
      </c>
      <c r="E22" s="68">
        <v>1012</v>
      </c>
      <c r="F22" s="52">
        <v>1012</v>
      </c>
      <c r="G22" s="50">
        <f t="shared" si="3"/>
        <v>75.899999999999991</v>
      </c>
      <c r="H22" s="50">
        <f t="shared" si="4"/>
        <v>144.20999999999998</v>
      </c>
      <c r="I22" s="51">
        <f t="shared" si="5"/>
        <v>13.100000000000001</v>
      </c>
      <c r="J22" s="52"/>
      <c r="K22" s="52">
        <v>0</v>
      </c>
      <c r="L22" s="53"/>
      <c r="M22" s="54">
        <f t="shared" si="1"/>
        <v>923</v>
      </c>
      <c r="N22" s="55">
        <f t="shared" si="2"/>
        <v>1156.21</v>
      </c>
      <c r="O22" s="33" t="s">
        <v>54</v>
      </c>
      <c r="P22" s="60" t="s">
        <v>103</v>
      </c>
      <c r="Q22" s="60" t="s">
        <v>104</v>
      </c>
      <c r="R22" s="61" t="s">
        <v>59</v>
      </c>
      <c r="S22" s="62">
        <v>329111</v>
      </c>
      <c r="T22" s="60" t="s">
        <v>56</v>
      </c>
    </row>
    <row r="23" spans="1:20" x14ac:dyDescent="0.2">
      <c r="A23" s="45">
        <v>19</v>
      </c>
      <c r="B23" s="45" t="s">
        <v>105</v>
      </c>
      <c r="C23" s="46" t="s">
        <v>106</v>
      </c>
      <c r="D23" s="70" t="s">
        <v>82</v>
      </c>
      <c r="E23" s="68">
        <v>1193</v>
      </c>
      <c r="F23" s="52">
        <v>1193</v>
      </c>
      <c r="G23" s="50">
        <f t="shared" si="3"/>
        <v>89.474999999999994</v>
      </c>
      <c r="H23" s="50">
        <f t="shared" si="4"/>
        <v>170.0025</v>
      </c>
      <c r="I23" s="51">
        <f t="shared" si="5"/>
        <v>23.466666666666669</v>
      </c>
      <c r="J23" s="52"/>
      <c r="K23" s="52">
        <v>0</v>
      </c>
      <c r="L23" s="53"/>
      <c r="M23" s="54">
        <f t="shared" si="1"/>
        <v>1080.0583333333334</v>
      </c>
      <c r="N23" s="55">
        <f t="shared" si="2"/>
        <v>1363.0025000000001</v>
      </c>
      <c r="O23" s="33" t="s">
        <v>54</v>
      </c>
      <c r="P23" s="60" t="s">
        <v>105</v>
      </c>
      <c r="Q23" s="60" t="s">
        <v>106</v>
      </c>
      <c r="R23" s="61" t="s">
        <v>59</v>
      </c>
      <c r="S23" s="62">
        <v>329111</v>
      </c>
      <c r="T23" s="60" t="s">
        <v>56</v>
      </c>
    </row>
    <row r="24" spans="1:20" x14ac:dyDescent="0.2">
      <c r="A24" s="45">
        <v>20</v>
      </c>
      <c r="B24" s="71" t="s">
        <v>107</v>
      </c>
      <c r="C24" s="46" t="s">
        <v>108</v>
      </c>
      <c r="D24" s="70" t="s">
        <v>109</v>
      </c>
      <c r="E24" s="68">
        <v>2500</v>
      </c>
      <c r="F24" s="52">
        <v>2500</v>
      </c>
      <c r="G24" s="50">
        <f t="shared" si="3"/>
        <v>187.5</v>
      </c>
      <c r="H24" s="50">
        <f t="shared" si="4"/>
        <v>356.24999999999994</v>
      </c>
      <c r="I24" s="51">
        <f t="shared" si="5"/>
        <v>87.5</v>
      </c>
      <c r="J24" s="52"/>
      <c r="K24" s="52">
        <v>0</v>
      </c>
      <c r="L24" s="53"/>
      <c r="M24" s="54">
        <f t="shared" si="1"/>
        <v>2225</v>
      </c>
      <c r="N24" s="55">
        <f t="shared" si="2"/>
        <v>2856.25</v>
      </c>
      <c r="O24" s="33" t="s">
        <v>69</v>
      </c>
      <c r="P24" s="60" t="s">
        <v>107</v>
      </c>
      <c r="Q24" s="60" t="s">
        <v>108</v>
      </c>
      <c r="R24" s="61" t="s">
        <v>59</v>
      </c>
      <c r="S24" s="62">
        <v>122111</v>
      </c>
      <c r="T24" s="60" t="s">
        <v>110</v>
      </c>
    </row>
    <row r="25" spans="1:20" x14ac:dyDescent="0.2">
      <c r="A25" s="45">
        <v>21</v>
      </c>
      <c r="B25" s="45" t="s">
        <v>111</v>
      </c>
      <c r="C25" s="46" t="s">
        <v>112</v>
      </c>
      <c r="D25" s="70" t="s">
        <v>82</v>
      </c>
      <c r="E25" s="68">
        <v>1012</v>
      </c>
      <c r="F25" s="52">
        <v>1012</v>
      </c>
      <c r="G25" s="50">
        <f t="shared" si="3"/>
        <v>75.899999999999991</v>
      </c>
      <c r="H25" s="50">
        <f t="shared" si="4"/>
        <v>144.20999999999998</v>
      </c>
      <c r="I25" s="51">
        <f t="shared" si="5"/>
        <v>13.100000000000001</v>
      </c>
      <c r="J25" s="52"/>
      <c r="K25" s="52">
        <v>0</v>
      </c>
      <c r="L25" s="53"/>
      <c r="M25" s="54">
        <f t="shared" si="1"/>
        <v>923</v>
      </c>
      <c r="N25" s="55">
        <f t="shared" si="2"/>
        <v>1156.21</v>
      </c>
      <c r="O25" s="33" t="s">
        <v>54</v>
      </c>
      <c r="P25" s="60" t="s">
        <v>111</v>
      </c>
      <c r="Q25" s="60" t="s">
        <v>112</v>
      </c>
      <c r="R25" s="61" t="s">
        <v>59</v>
      </c>
      <c r="S25" s="62">
        <v>329111</v>
      </c>
      <c r="T25" s="60" t="s">
        <v>56</v>
      </c>
    </row>
    <row r="26" spans="1:20" x14ac:dyDescent="0.2">
      <c r="A26" s="45">
        <v>22</v>
      </c>
      <c r="B26" s="45" t="s">
        <v>113</v>
      </c>
      <c r="C26" s="46" t="s">
        <v>114</v>
      </c>
      <c r="D26" s="70" t="s">
        <v>82</v>
      </c>
      <c r="E26" s="68">
        <v>976</v>
      </c>
      <c r="F26" s="52">
        <v>976</v>
      </c>
      <c r="G26" s="50">
        <f t="shared" si="3"/>
        <v>73.2</v>
      </c>
      <c r="H26" s="50">
        <f t="shared" si="4"/>
        <v>139.07999999999998</v>
      </c>
      <c r="I26" s="51">
        <f t="shared" si="5"/>
        <v>11.299999999999999</v>
      </c>
      <c r="J26" s="52"/>
      <c r="K26" s="52">
        <v>0</v>
      </c>
      <c r="L26" s="53"/>
      <c r="M26" s="54">
        <f t="shared" si="1"/>
        <v>891.5</v>
      </c>
      <c r="N26" s="55">
        <f t="shared" si="2"/>
        <v>1115.08</v>
      </c>
      <c r="O26" s="33" t="s">
        <v>54</v>
      </c>
      <c r="P26" s="60" t="s">
        <v>113</v>
      </c>
      <c r="Q26" s="60" t="s">
        <v>114</v>
      </c>
      <c r="R26" s="61" t="s">
        <v>59</v>
      </c>
      <c r="S26" s="62">
        <v>329111</v>
      </c>
      <c r="T26" s="60" t="s">
        <v>56</v>
      </c>
    </row>
    <row r="27" spans="1:20" x14ac:dyDescent="0.2">
      <c r="A27" s="45">
        <v>23</v>
      </c>
      <c r="B27" s="45" t="s">
        <v>115</v>
      </c>
      <c r="C27" s="46" t="s">
        <v>116</v>
      </c>
      <c r="D27" s="70" t="s">
        <v>82</v>
      </c>
      <c r="E27" s="68">
        <v>1012</v>
      </c>
      <c r="F27" s="52">
        <v>1012</v>
      </c>
      <c r="G27" s="50">
        <f t="shared" si="3"/>
        <v>75.899999999999991</v>
      </c>
      <c r="H27" s="50">
        <f t="shared" si="4"/>
        <v>144.20999999999998</v>
      </c>
      <c r="I27" s="51">
        <f t="shared" si="5"/>
        <v>13.100000000000001</v>
      </c>
      <c r="J27" s="52"/>
      <c r="K27" s="52">
        <v>0</v>
      </c>
      <c r="L27" s="53"/>
      <c r="M27" s="54">
        <f t="shared" si="1"/>
        <v>923</v>
      </c>
      <c r="N27" s="55">
        <f t="shared" si="2"/>
        <v>1156.21</v>
      </c>
      <c r="O27" s="33" t="s">
        <v>54</v>
      </c>
      <c r="P27" s="60" t="s">
        <v>115</v>
      </c>
      <c r="Q27" s="60" t="s">
        <v>116</v>
      </c>
      <c r="R27" s="61" t="s">
        <v>59</v>
      </c>
      <c r="S27" s="62">
        <v>329111</v>
      </c>
      <c r="T27" s="60" t="s">
        <v>56</v>
      </c>
    </row>
    <row r="28" spans="1:20" ht="15" thickBot="1" x14ac:dyDescent="0.25">
      <c r="A28" s="45">
        <v>24</v>
      </c>
      <c r="B28" s="71" t="s">
        <v>117</v>
      </c>
      <c r="C28" s="46" t="s">
        <v>118</v>
      </c>
      <c r="D28" s="70" t="s">
        <v>97</v>
      </c>
      <c r="E28" s="68">
        <v>1000</v>
      </c>
      <c r="F28" s="52">
        <v>1000</v>
      </c>
      <c r="G28" s="50">
        <f t="shared" si="3"/>
        <v>75</v>
      </c>
      <c r="H28" s="50">
        <f t="shared" si="4"/>
        <v>142.5</v>
      </c>
      <c r="I28" s="51">
        <f t="shared" si="5"/>
        <v>12.5</v>
      </c>
      <c r="J28" s="52"/>
      <c r="K28" s="52">
        <v>0</v>
      </c>
      <c r="L28" s="53"/>
      <c r="M28" s="54">
        <f t="shared" si="1"/>
        <v>912.5</v>
      </c>
      <c r="N28" s="55">
        <f t="shared" si="2"/>
        <v>1142.5</v>
      </c>
      <c r="O28" s="33" t="s">
        <v>54</v>
      </c>
      <c r="P28" s="60" t="s">
        <v>117</v>
      </c>
      <c r="Q28" s="60" t="s">
        <v>118</v>
      </c>
      <c r="R28" s="61" t="s">
        <v>59</v>
      </c>
      <c r="S28" s="62">
        <v>323111</v>
      </c>
      <c r="T28" s="60" t="s">
        <v>56</v>
      </c>
    </row>
    <row r="29" spans="1:20" x14ac:dyDescent="0.2">
      <c r="A29" s="63">
        <v>25</v>
      </c>
      <c r="B29" s="71" t="s">
        <v>119</v>
      </c>
      <c r="C29" s="46" t="s">
        <v>120</v>
      </c>
      <c r="D29" s="70" t="s">
        <v>85</v>
      </c>
      <c r="E29" s="68">
        <v>1705</v>
      </c>
      <c r="F29" s="52">
        <v>1705</v>
      </c>
      <c r="G29" s="50">
        <f t="shared" si="3"/>
        <v>127.875</v>
      </c>
      <c r="H29" s="50">
        <f t="shared" si="4"/>
        <v>242.96249999999998</v>
      </c>
      <c r="I29" s="51">
        <f t="shared" si="5"/>
        <v>80.75</v>
      </c>
      <c r="J29" s="52"/>
      <c r="K29" s="52">
        <v>0</v>
      </c>
      <c r="L29" s="53"/>
      <c r="M29" s="54">
        <f t="shared" si="1"/>
        <v>1496.375</v>
      </c>
      <c r="N29" s="55">
        <f t="shared" si="2"/>
        <v>1947.9625000000001</v>
      </c>
      <c r="O29" s="33" t="s">
        <v>54</v>
      </c>
      <c r="P29" s="60" t="s">
        <v>119</v>
      </c>
      <c r="Q29" s="60" t="s">
        <v>120</v>
      </c>
      <c r="R29" s="61" t="s">
        <v>59</v>
      </c>
      <c r="S29" s="62">
        <v>323111</v>
      </c>
      <c r="T29" s="60" t="s">
        <v>56</v>
      </c>
    </row>
    <row r="30" spans="1:20" x14ac:dyDescent="0.2">
      <c r="A30" s="45">
        <v>26</v>
      </c>
      <c r="B30" s="71" t="s">
        <v>121</v>
      </c>
      <c r="C30" s="46" t="s">
        <v>122</v>
      </c>
      <c r="D30" s="70" t="s">
        <v>123</v>
      </c>
      <c r="E30" s="68">
        <v>1633</v>
      </c>
      <c r="F30" s="52">
        <v>1633</v>
      </c>
      <c r="G30" s="50">
        <f t="shared" si="3"/>
        <v>122.47499999999999</v>
      </c>
      <c r="H30" s="50">
        <f t="shared" si="4"/>
        <v>232.70249999999999</v>
      </c>
      <c r="I30" s="51">
        <f t="shared" si="5"/>
        <v>69.95</v>
      </c>
      <c r="J30" s="52"/>
      <c r="K30" s="52">
        <v>0</v>
      </c>
      <c r="L30" s="53"/>
      <c r="M30" s="54">
        <f t="shared" si="1"/>
        <v>1440.575</v>
      </c>
      <c r="N30" s="55">
        <f t="shared" si="2"/>
        <v>1865.7024999999999</v>
      </c>
      <c r="O30" s="33" t="s">
        <v>54</v>
      </c>
      <c r="P30" s="60" t="s">
        <v>121</v>
      </c>
      <c r="Q30" s="60" t="s">
        <v>122</v>
      </c>
      <c r="R30" s="61" t="s">
        <v>59</v>
      </c>
      <c r="S30" s="62">
        <v>323111</v>
      </c>
      <c r="T30" s="60" t="s">
        <v>56</v>
      </c>
    </row>
    <row r="31" spans="1:20" x14ac:dyDescent="0.2">
      <c r="A31" s="45">
        <v>27</v>
      </c>
      <c r="B31" s="71" t="s">
        <v>124</v>
      </c>
      <c r="C31" s="46" t="s">
        <v>125</v>
      </c>
      <c r="D31" s="70" t="s">
        <v>77</v>
      </c>
      <c r="E31" s="68">
        <v>1450</v>
      </c>
      <c r="F31" s="52">
        <v>1450</v>
      </c>
      <c r="G31" s="50">
        <f t="shared" si="3"/>
        <v>108.75</v>
      </c>
      <c r="H31" s="50">
        <f t="shared" si="4"/>
        <v>206.62499999999997</v>
      </c>
      <c r="I31" s="51">
        <f t="shared" si="5"/>
        <v>49.166666666666664</v>
      </c>
      <c r="J31" s="52"/>
      <c r="K31" s="52">
        <v>0</v>
      </c>
      <c r="L31" s="53"/>
      <c r="M31" s="54">
        <f t="shared" si="1"/>
        <v>1292.0833333333333</v>
      </c>
      <c r="N31" s="55">
        <f t="shared" si="2"/>
        <v>1656.625</v>
      </c>
      <c r="O31" s="33" t="s">
        <v>54</v>
      </c>
      <c r="P31" s="60" t="s">
        <v>124</v>
      </c>
      <c r="Q31" s="60" t="s">
        <v>125</v>
      </c>
      <c r="R31" s="61" t="s">
        <v>59</v>
      </c>
      <c r="S31" s="62">
        <v>323111</v>
      </c>
      <c r="T31" s="60" t="s">
        <v>56</v>
      </c>
    </row>
    <row r="32" spans="1:20" x14ac:dyDescent="0.2">
      <c r="A32" s="45">
        <v>28</v>
      </c>
      <c r="B32" s="71" t="s">
        <v>126</v>
      </c>
      <c r="C32" s="46" t="s">
        <v>127</v>
      </c>
      <c r="D32" s="70" t="s">
        <v>128</v>
      </c>
      <c r="E32" s="68">
        <v>615</v>
      </c>
      <c r="F32" s="52">
        <v>615</v>
      </c>
      <c r="G32" s="50">
        <f t="shared" si="3"/>
        <v>46.125</v>
      </c>
      <c r="H32" s="50">
        <f t="shared" si="4"/>
        <v>87.637499999999989</v>
      </c>
      <c r="I32" s="51">
        <f t="shared" si="5"/>
        <v>0</v>
      </c>
      <c r="J32" s="52"/>
      <c r="K32" s="52">
        <v>0</v>
      </c>
      <c r="L32" s="53"/>
      <c r="M32" s="54">
        <f t="shared" si="1"/>
        <v>568.875</v>
      </c>
      <c r="N32" s="55">
        <f t="shared" si="2"/>
        <v>702.63750000000005</v>
      </c>
      <c r="O32" s="33" t="s">
        <v>54</v>
      </c>
      <c r="P32" s="60" t="s">
        <v>126</v>
      </c>
      <c r="Q32" s="60" t="s">
        <v>127</v>
      </c>
      <c r="R32" s="61" t="s">
        <v>59</v>
      </c>
      <c r="S32" s="62">
        <v>325311</v>
      </c>
      <c r="T32" s="72" t="s">
        <v>56</v>
      </c>
    </row>
    <row r="33" spans="1:20" x14ac:dyDescent="0.2">
      <c r="A33" s="45">
        <v>29</v>
      </c>
      <c r="B33" s="71" t="s">
        <v>129</v>
      </c>
      <c r="C33" s="46" t="s">
        <v>130</v>
      </c>
      <c r="D33" s="70" t="s">
        <v>85</v>
      </c>
      <c r="E33" s="68">
        <v>1193</v>
      </c>
      <c r="F33" s="52">
        <v>1193</v>
      </c>
      <c r="G33" s="50">
        <f t="shared" si="3"/>
        <v>89.474999999999994</v>
      </c>
      <c r="H33" s="50">
        <f t="shared" si="4"/>
        <v>170.0025</v>
      </c>
      <c r="I33" s="51">
        <f t="shared" si="5"/>
        <v>23.466666666666669</v>
      </c>
      <c r="J33" s="52"/>
      <c r="K33" s="52">
        <v>0</v>
      </c>
      <c r="L33" s="53"/>
      <c r="M33" s="54">
        <f t="shared" si="1"/>
        <v>1080.0583333333334</v>
      </c>
      <c r="N33" s="55">
        <f t="shared" si="2"/>
        <v>1363.0025000000001</v>
      </c>
      <c r="O33" s="33" t="s">
        <v>54</v>
      </c>
      <c r="P33" s="60" t="s">
        <v>129</v>
      </c>
      <c r="Q33" s="60" t="s">
        <v>130</v>
      </c>
      <c r="R33" s="61" t="s">
        <v>59</v>
      </c>
      <c r="S33" s="62">
        <v>323111</v>
      </c>
      <c r="T33" s="60" t="s">
        <v>56</v>
      </c>
    </row>
    <row r="34" spans="1:20" x14ac:dyDescent="0.2">
      <c r="A34" s="45">
        <v>30</v>
      </c>
      <c r="B34" s="71" t="s">
        <v>131</v>
      </c>
      <c r="C34" s="46" t="s">
        <v>132</v>
      </c>
      <c r="D34" s="70" t="s">
        <v>133</v>
      </c>
      <c r="E34" s="68">
        <v>2272</v>
      </c>
      <c r="F34" s="52">
        <v>2272</v>
      </c>
      <c r="G34" s="50">
        <f t="shared" si="3"/>
        <v>170.4</v>
      </c>
      <c r="H34" s="50">
        <f t="shared" si="4"/>
        <v>323.76</v>
      </c>
      <c r="I34" s="51">
        <f t="shared" si="5"/>
        <v>179.4</v>
      </c>
      <c r="J34" s="52"/>
      <c r="K34" s="52">
        <v>0</v>
      </c>
      <c r="L34" s="53"/>
      <c r="M34" s="54">
        <f t="shared" si="1"/>
        <v>1922.2</v>
      </c>
      <c r="N34" s="55">
        <f t="shared" si="2"/>
        <v>2595.7600000000002</v>
      </c>
      <c r="O34" s="33" t="s">
        <v>54</v>
      </c>
      <c r="P34" s="60" t="s">
        <v>131</v>
      </c>
      <c r="Q34" s="60" t="s">
        <v>132</v>
      </c>
      <c r="R34" s="61" t="s">
        <v>59</v>
      </c>
      <c r="S34" s="62">
        <v>323111</v>
      </c>
      <c r="T34" s="60" t="s">
        <v>56</v>
      </c>
    </row>
    <row r="35" spans="1:20" ht="15" thickBot="1" x14ac:dyDescent="0.25">
      <c r="A35" s="45">
        <v>31</v>
      </c>
      <c r="B35" s="71" t="s">
        <v>134</v>
      </c>
      <c r="C35" s="46" t="s">
        <v>135</v>
      </c>
      <c r="D35" s="70" t="s">
        <v>136</v>
      </c>
      <c r="E35" s="68">
        <v>815</v>
      </c>
      <c r="F35" s="52">
        <v>815</v>
      </c>
      <c r="G35" s="50">
        <f t="shared" si="3"/>
        <v>61.125</v>
      </c>
      <c r="H35" s="50">
        <f t="shared" si="4"/>
        <v>116.13749999999999</v>
      </c>
      <c r="I35" s="51">
        <f t="shared" si="5"/>
        <v>3.25</v>
      </c>
      <c r="J35" s="52"/>
      <c r="K35" s="52">
        <v>0</v>
      </c>
      <c r="L35" s="53"/>
      <c r="M35" s="54">
        <f t="shared" si="1"/>
        <v>750.625</v>
      </c>
      <c r="N35" s="55">
        <f t="shared" si="2"/>
        <v>931.13750000000005</v>
      </c>
      <c r="O35" s="33" t="s">
        <v>54</v>
      </c>
      <c r="P35" s="60" t="s">
        <v>134</v>
      </c>
      <c r="Q35" s="60" t="s">
        <v>135</v>
      </c>
      <c r="R35" s="61" t="s">
        <v>137</v>
      </c>
      <c r="S35" s="62">
        <v>311311</v>
      </c>
      <c r="T35" s="60" t="s">
        <v>138</v>
      </c>
    </row>
    <row r="36" spans="1:20" x14ac:dyDescent="0.2">
      <c r="A36" s="63">
        <v>32</v>
      </c>
      <c r="B36" s="71" t="s">
        <v>139</v>
      </c>
      <c r="C36" s="46" t="s">
        <v>140</v>
      </c>
      <c r="D36" s="70" t="s">
        <v>65</v>
      </c>
      <c r="E36" s="68">
        <v>1022</v>
      </c>
      <c r="F36" s="52">
        <v>1022</v>
      </c>
      <c r="G36" s="50">
        <f t="shared" si="3"/>
        <v>76.649999999999991</v>
      </c>
      <c r="H36" s="50">
        <f t="shared" si="4"/>
        <v>145.63499999999999</v>
      </c>
      <c r="I36" s="51">
        <f t="shared" si="5"/>
        <v>0</v>
      </c>
      <c r="J36" s="52"/>
      <c r="K36" s="52">
        <v>0</v>
      </c>
      <c r="L36" s="53"/>
      <c r="M36" s="54">
        <f t="shared" si="1"/>
        <v>945.35</v>
      </c>
      <c r="N36" s="55">
        <f t="shared" si="2"/>
        <v>1167.635</v>
      </c>
      <c r="O36" s="33" t="s">
        <v>69</v>
      </c>
      <c r="P36" s="60" t="s">
        <v>139</v>
      </c>
      <c r="Q36" s="60" t="s">
        <v>140</v>
      </c>
      <c r="R36" s="61" t="s">
        <v>59</v>
      </c>
      <c r="S36" s="62">
        <v>323111</v>
      </c>
      <c r="T36" s="60" t="s">
        <v>56</v>
      </c>
    </row>
    <row r="37" spans="1:20" x14ac:dyDescent="0.2">
      <c r="A37" s="45">
        <v>33</v>
      </c>
      <c r="B37" s="71" t="s">
        <v>141</v>
      </c>
      <c r="C37" s="46" t="s">
        <v>142</v>
      </c>
      <c r="D37" s="70" t="s">
        <v>143</v>
      </c>
      <c r="E37" s="68">
        <v>2800</v>
      </c>
      <c r="F37" s="52">
        <v>2800</v>
      </c>
      <c r="G37" s="50">
        <f t="shared" si="3"/>
        <v>210</v>
      </c>
      <c r="H37" s="50">
        <f t="shared" si="4"/>
        <v>398.99999999999994</v>
      </c>
      <c r="I37" s="51">
        <f t="shared" si="5"/>
        <v>135</v>
      </c>
      <c r="J37" s="52"/>
      <c r="K37" s="52">
        <v>0</v>
      </c>
      <c r="L37" s="53"/>
      <c r="M37" s="54">
        <f t="shared" ref="M37:M68" si="6">(F37+K37)-SUM(G37,I37,J37,L37)</f>
        <v>2455</v>
      </c>
      <c r="N37" s="55">
        <f t="shared" ref="N37:N68" si="7">F37+H37</f>
        <v>3199</v>
      </c>
      <c r="O37" s="33" t="s">
        <v>69</v>
      </c>
      <c r="P37" s="60" t="s">
        <v>141</v>
      </c>
      <c r="Q37" s="60" t="s">
        <v>142</v>
      </c>
      <c r="R37" s="61" t="s">
        <v>59</v>
      </c>
      <c r="S37" s="62">
        <v>323111</v>
      </c>
      <c r="T37" s="60" t="s">
        <v>56</v>
      </c>
    </row>
    <row r="38" spans="1:20" x14ac:dyDescent="0.2">
      <c r="A38" s="45">
        <v>34</v>
      </c>
      <c r="B38" s="71" t="s">
        <v>144</v>
      </c>
      <c r="C38" s="46" t="s">
        <v>145</v>
      </c>
      <c r="D38" s="70" t="s">
        <v>65</v>
      </c>
      <c r="E38" s="68">
        <v>1065</v>
      </c>
      <c r="F38" s="52">
        <v>1065</v>
      </c>
      <c r="G38" s="50">
        <f t="shared" si="3"/>
        <v>79.875</v>
      </c>
      <c r="H38" s="50">
        <f t="shared" si="4"/>
        <v>151.76249999999999</v>
      </c>
      <c r="I38" s="51">
        <f t="shared" si="5"/>
        <v>15.75</v>
      </c>
      <c r="J38" s="52"/>
      <c r="K38" s="52">
        <v>0</v>
      </c>
      <c r="L38" s="53"/>
      <c r="M38" s="54">
        <f t="shared" si="6"/>
        <v>969.375</v>
      </c>
      <c r="N38" s="55">
        <f t="shared" si="7"/>
        <v>1216.7625</v>
      </c>
      <c r="O38" s="33" t="s">
        <v>54</v>
      </c>
      <c r="P38" s="60" t="s">
        <v>144</v>
      </c>
      <c r="Q38" s="60" t="s">
        <v>145</v>
      </c>
      <c r="R38" s="61" t="s">
        <v>59</v>
      </c>
      <c r="S38" s="62">
        <v>323111</v>
      </c>
      <c r="T38" s="60" t="s">
        <v>56</v>
      </c>
    </row>
    <row r="39" spans="1:20" x14ac:dyDescent="0.2">
      <c r="A39" s="45">
        <v>35</v>
      </c>
      <c r="B39" s="71" t="s">
        <v>146</v>
      </c>
      <c r="C39" s="46" t="s">
        <v>147</v>
      </c>
      <c r="D39" s="70" t="s">
        <v>148</v>
      </c>
      <c r="E39" s="68">
        <v>1600</v>
      </c>
      <c r="F39" s="52">
        <v>1600</v>
      </c>
      <c r="G39" s="50">
        <f t="shared" ref="G39:G70" si="8">E39*0.075</f>
        <v>120</v>
      </c>
      <c r="H39" s="50">
        <f t="shared" ref="H39:H70" si="9">E39*0.1425</f>
        <v>227.99999999999997</v>
      </c>
      <c r="I39" s="51">
        <f t="shared" si="5"/>
        <v>5</v>
      </c>
      <c r="J39" s="52"/>
      <c r="K39" s="52">
        <v>0</v>
      </c>
      <c r="L39" s="53"/>
      <c r="M39" s="54">
        <f t="shared" si="6"/>
        <v>1475</v>
      </c>
      <c r="N39" s="55">
        <f t="shared" si="7"/>
        <v>1828</v>
      </c>
      <c r="O39" s="33" t="s">
        <v>69</v>
      </c>
      <c r="P39" s="60" t="s">
        <v>146</v>
      </c>
      <c r="Q39" s="60" t="s">
        <v>147</v>
      </c>
      <c r="R39" s="61" t="s">
        <v>101</v>
      </c>
      <c r="S39" s="62">
        <v>349311</v>
      </c>
      <c r="T39" s="60" t="s">
        <v>102</v>
      </c>
    </row>
    <row r="40" spans="1:20" x14ac:dyDescent="0.2">
      <c r="A40" s="45">
        <v>36</v>
      </c>
      <c r="B40" s="71" t="s">
        <v>149</v>
      </c>
      <c r="C40" s="46" t="s">
        <v>150</v>
      </c>
      <c r="D40" s="70" t="s">
        <v>143</v>
      </c>
      <c r="E40" s="68">
        <v>2740</v>
      </c>
      <c r="F40" s="52">
        <v>2740</v>
      </c>
      <c r="G40" s="50">
        <f t="shared" si="8"/>
        <v>205.5</v>
      </c>
      <c r="H40" s="50">
        <f t="shared" si="9"/>
        <v>390.45</v>
      </c>
      <c r="I40" s="51">
        <f t="shared" si="5"/>
        <v>123.5</v>
      </c>
      <c r="J40" s="52"/>
      <c r="K40" s="52">
        <v>0</v>
      </c>
      <c r="L40" s="53"/>
      <c r="M40" s="54">
        <f t="shared" si="6"/>
        <v>2411</v>
      </c>
      <c r="N40" s="55">
        <f t="shared" si="7"/>
        <v>3130.45</v>
      </c>
      <c r="O40" s="33" t="s">
        <v>69</v>
      </c>
      <c r="P40" s="60" t="s">
        <v>149</v>
      </c>
      <c r="Q40" s="60" t="s">
        <v>150</v>
      </c>
      <c r="R40" s="61" t="s">
        <v>59</v>
      </c>
      <c r="S40" s="62">
        <v>323111</v>
      </c>
      <c r="T40" s="60" t="s">
        <v>56</v>
      </c>
    </row>
    <row r="41" spans="1:20" x14ac:dyDescent="0.2">
      <c r="A41" s="45">
        <v>37</v>
      </c>
      <c r="B41" s="71" t="s">
        <v>151</v>
      </c>
      <c r="C41" s="46" t="s">
        <v>152</v>
      </c>
      <c r="D41" s="70" t="s">
        <v>143</v>
      </c>
      <c r="E41" s="68">
        <v>2270</v>
      </c>
      <c r="F41" s="52">
        <v>2270</v>
      </c>
      <c r="G41" s="50">
        <f t="shared" si="8"/>
        <v>170.25</v>
      </c>
      <c r="H41" s="50">
        <f t="shared" si="9"/>
        <v>323.47499999999997</v>
      </c>
      <c r="I41" s="51">
        <f t="shared" si="5"/>
        <v>179</v>
      </c>
      <c r="J41" s="52"/>
      <c r="K41" s="52">
        <v>0</v>
      </c>
      <c r="L41" s="53"/>
      <c r="M41" s="54">
        <f t="shared" si="6"/>
        <v>1920.75</v>
      </c>
      <c r="N41" s="55">
        <f t="shared" si="7"/>
        <v>2593.4749999999999</v>
      </c>
      <c r="O41" s="33" t="s">
        <v>54</v>
      </c>
      <c r="P41" s="60" t="s">
        <v>151</v>
      </c>
      <c r="Q41" s="60" t="s">
        <v>152</v>
      </c>
      <c r="R41" s="61" t="s">
        <v>59</v>
      </c>
      <c r="S41" s="62">
        <v>323111</v>
      </c>
      <c r="T41" s="60" t="s">
        <v>56</v>
      </c>
    </row>
    <row r="42" spans="1:20" ht="15" thickBot="1" x14ac:dyDescent="0.25">
      <c r="A42" s="45">
        <v>38</v>
      </c>
      <c r="B42" s="71" t="s">
        <v>153</v>
      </c>
      <c r="C42" s="46" t="s">
        <v>154</v>
      </c>
      <c r="D42" s="70" t="s">
        <v>97</v>
      </c>
      <c r="E42" s="68">
        <v>900</v>
      </c>
      <c r="F42" s="52">
        <v>900</v>
      </c>
      <c r="G42" s="50">
        <f t="shared" si="8"/>
        <v>67.5</v>
      </c>
      <c r="H42" s="50">
        <f t="shared" si="9"/>
        <v>128.25</v>
      </c>
      <c r="I42" s="51">
        <f t="shared" si="5"/>
        <v>7.5</v>
      </c>
      <c r="J42" s="52"/>
      <c r="K42" s="52">
        <v>0</v>
      </c>
      <c r="L42" s="53"/>
      <c r="M42" s="54">
        <f t="shared" si="6"/>
        <v>825</v>
      </c>
      <c r="N42" s="55">
        <f t="shared" si="7"/>
        <v>1028.25</v>
      </c>
      <c r="O42" s="33" t="s">
        <v>54</v>
      </c>
      <c r="P42" s="60" t="s">
        <v>153</v>
      </c>
      <c r="Q42" s="60" t="s">
        <v>154</v>
      </c>
      <c r="R42" s="61" t="s">
        <v>59</v>
      </c>
      <c r="S42" s="62">
        <v>323111</v>
      </c>
      <c r="T42" s="60" t="s">
        <v>56</v>
      </c>
    </row>
    <row r="43" spans="1:20" x14ac:dyDescent="0.2">
      <c r="A43" s="63">
        <v>39</v>
      </c>
      <c r="B43" s="71" t="s">
        <v>155</v>
      </c>
      <c r="C43" s="46" t="s">
        <v>156</v>
      </c>
      <c r="D43" s="70" t="s">
        <v>157</v>
      </c>
      <c r="E43" s="69">
        <v>1193</v>
      </c>
      <c r="F43" s="49">
        <v>1193</v>
      </c>
      <c r="G43" s="50">
        <f t="shared" si="8"/>
        <v>89.474999999999994</v>
      </c>
      <c r="H43" s="50">
        <f t="shared" si="9"/>
        <v>170.0025</v>
      </c>
      <c r="I43" s="51">
        <f t="shared" si="5"/>
        <v>23.466666666666669</v>
      </c>
      <c r="J43" s="52"/>
      <c r="K43" s="52">
        <v>0</v>
      </c>
      <c r="L43" s="53"/>
      <c r="M43" s="54">
        <f t="shared" si="6"/>
        <v>1080.0583333333334</v>
      </c>
      <c r="N43" s="55">
        <f t="shared" si="7"/>
        <v>1363.0025000000001</v>
      </c>
      <c r="O43" s="33" t="s">
        <v>54</v>
      </c>
      <c r="P43" s="60" t="s">
        <v>155</v>
      </c>
      <c r="Q43" s="60" t="s">
        <v>156</v>
      </c>
      <c r="R43" s="61" t="s">
        <v>55</v>
      </c>
      <c r="S43" s="62">
        <v>325311</v>
      </c>
      <c r="T43" s="72" t="s">
        <v>56</v>
      </c>
    </row>
    <row r="44" spans="1:20" x14ac:dyDescent="0.2">
      <c r="A44" s="45">
        <v>40</v>
      </c>
      <c r="B44" s="71" t="s">
        <v>158</v>
      </c>
      <c r="C44" s="46" t="s">
        <v>159</v>
      </c>
      <c r="D44" s="70" t="s">
        <v>160</v>
      </c>
      <c r="E44" s="68">
        <v>900</v>
      </c>
      <c r="F44" s="52">
        <f>900</f>
        <v>900</v>
      </c>
      <c r="G44" s="50">
        <f t="shared" si="8"/>
        <v>67.5</v>
      </c>
      <c r="H44" s="50">
        <f t="shared" si="9"/>
        <v>128.25</v>
      </c>
      <c r="I44" s="51">
        <f t="shared" si="5"/>
        <v>7.5</v>
      </c>
      <c r="J44" s="52"/>
      <c r="K44" s="52">
        <v>0</v>
      </c>
      <c r="L44" s="53"/>
      <c r="M44" s="54">
        <f t="shared" si="6"/>
        <v>825</v>
      </c>
      <c r="N44" s="55">
        <f t="shared" si="7"/>
        <v>1028.25</v>
      </c>
      <c r="O44" s="33" t="s">
        <v>54</v>
      </c>
      <c r="P44" s="60" t="s">
        <v>158</v>
      </c>
      <c r="Q44" s="60" t="s">
        <v>159</v>
      </c>
      <c r="R44" s="61" t="s">
        <v>55</v>
      </c>
      <c r="S44" s="62">
        <v>323111</v>
      </c>
      <c r="T44" s="60" t="s">
        <v>56</v>
      </c>
    </row>
    <row r="45" spans="1:20" x14ac:dyDescent="0.2">
      <c r="A45" s="45">
        <v>41</v>
      </c>
      <c r="B45" s="71" t="s">
        <v>161</v>
      </c>
      <c r="C45" s="73" t="s">
        <v>162</v>
      </c>
      <c r="D45" s="70" t="s">
        <v>163</v>
      </c>
      <c r="E45" s="68">
        <v>450</v>
      </c>
      <c r="F45" s="52">
        <v>450</v>
      </c>
      <c r="G45" s="50">
        <f t="shared" si="8"/>
        <v>33.75</v>
      </c>
      <c r="H45" s="50">
        <f t="shared" si="9"/>
        <v>64.125</v>
      </c>
      <c r="I45" s="51">
        <f t="shared" si="5"/>
        <v>0</v>
      </c>
      <c r="J45" s="52"/>
      <c r="K45" s="52"/>
      <c r="L45" s="53"/>
      <c r="M45" s="54">
        <f t="shared" si="6"/>
        <v>416.25</v>
      </c>
      <c r="N45" s="55">
        <f t="shared" si="7"/>
        <v>514.125</v>
      </c>
      <c r="O45" s="33" t="s">
        <v>69</v>
      </c>
      <c r="P45" s="60" t="s">
        <v>161</v>
      </c>
      <c r="Q45" s="60" t="s">
        <v>162</v>
      </c>
      <c r="R45" s="61" t="s">
        <v>59</v>
      </c>
      <c r="S45" s="62">
        <v>134311</v>
      </c>
      <c r="T45" s="60" t="s">
        <v>164</v>
      </c>
    </row>
    <row r="46" spans="1:20" x14ac:dyDescent="0.2">
      <c r="A46" s="45">
        <v>42</v>
      </c>
      <c r="B46" s="71" t="s">
        <v>165</v>
      </c>
      <c r="C46" s="46" t="s">
        <v>166</v>
      </c>
      <c r="D46" s="70" t="s">
        <v>167</v>
      </c>
      <c r="E46" s="68">
        <v>1700</v>
      </c>
      <c r="F46" s="52">
        <v>1700</v>
      </c>
      <c r="G46" s="50">
        <f t="shared" si="8"/>
        <v>127.5</v>
      </c>
      <c r="H46" s="50">
        <f t="shared" si="9"/>
        <v>242.24999999999997</v>
      </c>
      <c r="I46" s="51">
        <f t="shared" si="5"/>
        <v>10</v>
      </c>
      <c r="J46" s="52"/>
      <c r="K46" s="52"/>
      <c r="L46" s="53"/>
      <c r="M46" s="54">
        <f t="shared" si="6"/>
        <v>1562.5</v>
      </c>
      <c r="N46" s="55">
        <f t="shared" si="7"/>
        <v>1942.25</v>
      </c>
      <c r="O46" s="33" t="s">
        <v>69</v>
      </c>
      <c r="P46" s="60" t="s">
        <v>165</v>
      </c>
      <c r="Q46" s="60" t="s">
        <v>166</v>
      </c>
      <c r="R46" s="61" t="s">
        <v>55</v>
      </c>
      <c r="S46" s="62">
        <v>323111</v>
      </c>
      <c r="T46" s="60" t="s">
        <v>56</v>
      </c>
    </row>
    <row r="47" spans="1:20" x14ac:dyDescent="0.2">
      <c r="A47" s="45">
        <v>43</v>
      </c>
      <c r="B47" s="71" t="s">
        <v>168</v>
      </c>
      <c r="C47" s="46" t="s">
        <v>169</v>
      </c>
      <c r="D47" s="70" t="s">
        <v>170</v>
      </c>
      <c r="E47" s="74">
        <v>350</v>
      </c>
      <c r="F47" s="52">
        <v>350</v>
      </c>
      <c r="G47" s="50">
        <f t="shared" si="8"/>
        <v>26.25</v>
      </c>
      <c r="H47" s="50">
        <f t="shared" si="9"/>
        <v>49.874999999999993</v>
      </c>
      <c r="I47" s="51">
        <f t="shared" si="5"/>
        <v>0</v>
      </c>
      <c r="J47" s="52"/>
      <c r="K47" s="52"/>
      <c r="L47" s="53"/>
      <c r="M47" s="54">
        <f t="shared" si="6"/>
        <v>323.75</v>
      </c>
      <c r="N47" s="55">
        <f t="shared" si="7"/>
        <v>399.875</v>
      </c>
      <c r="O47" s="33" t="s">
        <v>54</v>
      </c>
      <c r="P47" s="60" t="s">
        <v>168</v>
      </c>
      <c r="Q47" s="60" t="s">
        <v>169</v>
      </c>
      <c r="R47" s="61" t="s">
        <v>55</v>
      </c>
      <c r="S47" s="62">
        <v>325311</v>
      </c>
      <c r="T47" s="72" t="s">
        <v>56</v>
      </c>
    </row>
    <row r="48" spans="1:20" x14ac:dyDescent="0.2">
      <c r="A48" s="45">
        <v>44</v>
      </c>
      <c r="B48" s="71" t="s">
        <v>171</v>
      </c>
      <c r="C48" s="46" t="s">
        <v>172</v>
      </c>
      <c r="D48" s="75" t="s">
        <v>53</v>
      </c>
      <c r="E48" s="74">
        <v>700</v>
      </c>
      <c r="F48" s="52">
        <v>700</v>
      </c>
      <c r="G48" s="50">
        <f t="shared" si="8"/>
        <v>52.5</v>
      </c>
      <c r="H48" s="50">
        <f t="shared" si="9"/>
        <v>99.749999999999986</v>
      </c>
      <c r="I48" s="51">
        <f t="shared" si="5"/>
        <v>0</v>
      </c>
      <c r="J48" s="52"/>
      <c r="K48" s="52"/>
      <c r="L48" s="53"/>
      <c r="M48" s="54">
        <f t="shared" si="6"/>
        <v>647.5</v>
      </c>
      <c r="N48" s="55">
        <f t="shared" si="7"/>
        <v>799.75</v>
      </c>
      <c r="O48" s="33" t="s">
        <v>54</v>
      </c>
      <c r="P48" s="60" t="s">
        <v>171</v>
      </c>
      <c r="Q48" s="60" t="s">
        <v>172</v>
      </c>
      <c r="R48" s="61" t="s">
        <v>59</v>
      </c>
      <c r="S48" s="62">
        <v>329111</v>
      </c>
      <c r="T48" s="60" t="s">
        <v>56</v>
      </c>
    </row>
    <row r="49" spans="1:22" ht="15" thickBot="1" x14ac:dyDescent="0.25">
      <c r="A49" s="45">
        <v>45</v>
      </c>
      <c r="B49" s="71" t="s">
        <v>173</v>
      </c>
      <c r="C49" s="46" t="s">
        <v>174</v>
      </c>
      <c r="D49" s="75" t="s">
        <v>175</v>
      </c>
      <c r="E49" s="74">
        <v>2300</v>
      </c>
      <c r="F49" s="52">
        <v>2300</v>
      </c>
      <c r="G49" s="50">
        <f t="shared" si="8"/>
        <v>172.5</v>
      </c>
      <c r="H49" s="50">
        <f t="shared" si="9"/>
        <v>327.75</v>
      </c>
      <c r="I49" s="51">
        <f t="shared" si="5"/>
        <v>185</v>
      </c>
      <c r="J49" s="52"/>
      <c r="K49" s="52"/>
      <c r="L49" s="53"/>
      <c r="M49" s="54">
        <f t="shared" si="6"/>
        <v>1942.5</v>
      </c>
      <c r="N49" s="55">
        <f t="shared" si="7"/>
        <v>2627.75</v>
      </c>
      <c r="O49" s="33" t="s">
        <v>54</v>
      </c>
      <c r="P49" s="60" t="s">
        <v>176</v>
      </c>
      <c r="Q49" s="60" t="s">
        <v>174</v>
      </c>
      <c r="R49" s="61" t="s">
        <v>59</v>
      </c>
      <c r="S49" s="62">
        <v>111111</v>
      </c>
      <c r="T49" s="60" t="s">
        <v>177</v>
      </c>
    </row>
    <row r="50" spans="1:22" x14ac:dyDescent="0.2">
      <c r="A50" s="63">
        <v>46</v>
      </c>
      <c r="B50" s="71" t="s">
        <v>178</v>
      </c>
      <c r="C50" s="46" t="s">
        <v>179</v>
      </c>
      <c r="D50" s="76" t="s">
        <v>180</v>
      </c>
      <c r="E50" s="74">
        <v>480</v>
      </c>
      <c r="F50" s="52">
        <v>480</v>
      </c>
      <c r="G50" s="50">
        <f t="shared" si="8"/>
        <v>36</v>
      </c>
      <c r="H50" s="50">
        <f t="shared" si="9"/>
        <v>68.399999999999991</v>
      </c>
      <c r="I50" s="51">
        <f t="shared" si="5"/>
        <v>0</v>
      </c>
      <c r="J50" s="52"/>
      <c r="K50" s="52"/>
      <c r="L50" s="53"/>
      <c r="M50" s="54">
        <f t="shared" si="6"/>
        <v>444</v>
      </c>
      <c r="N50" s="55">
        <f t="shared" si="7"/>
        <v>548.4</v>
      </c>
      <c r="O50" s="33" t="s">
        <v>54</v>
      </c>
      <c r="P50" s="60" t="s">
        <v>178</v>
      </c>
      <c r="Q50" s="60" t="s">
        <v>179</v>
      </c>
      <c r="R50" s="61" t="s">
        <v>59</v>
      </c>
      <c r="S50" s="62">
        <v>329111</v>
      </c>
      <c r="T50" s="60" t="s">
        <v>56</v>
      </c>
    </row>
    <row r="51" spans="1:22" x14ac:dyDescent="0.2">
      <c r="A51" s="45">
        <v>47</v>
      </c>
      <c r="B51" s="71" t="s">
        <v>181</v>
      </c>
      <c r="C51" s="46" t="s">
        <v>182</v>
      </c>
      <c r="D51" s="76" t="s">
        <v>183</v>
      </c>
      <c r="E51" s="74">
        <v>2000</v>
      </c>
      <c r="F51" s="52">
        <v>2000</v>
      </c>
      <c r="G51" s="50">
        <f t="shared" si="8"/>
        <v>150</v>
      </c>
      <c r="H51" s="50">
        <f t="shared" si="9"/>
        <v>285</v>
      </c>
      <c r="I51" s="51">
        <f t="shared" si="5"/>
        <v>125</v>
      </c>
      <c r="J51" s="52"/>
      <c r="K51" s="52"/>
      <c r="L51" s="53"/>
      <c r="M51" s="54">
        <f t="shared" si="6"/>
        <v>1725</v>
      </c>
      <c r="N51" s="55">
        <f t="shared" si="7"/>
        <v>2285</v>
      </c>
      <c r="O51" s="33" t="s">
        <v>54</v>
      </c>
      <c r="P51" s="60" t="s">
        <v>181</v>
      </c>
      <c r="Q51" s="60" t="s">
        <v>182</v>
      </c>
      <c r="R51" s="61" t="s">
        <v>59</v>
      </c>
      <c r="S51" s="62">
        <v>323111</v>
      </c>
      <c r="T51" s="60" t="s">
        <v>56</v>
      </c>
    </row>
    <row r="52" spans="1:22" x14ac:dyDescent="0.2">
      <c r="A52" s="45">
        <v>48</v>
      </c>
      <c r="B52" s="71" t="s">
        <v>184</v>
      </c>
      <c r="C52" s="46" t="s">
        <v>185</v>
      </c>
      <c r="D52" s="75" t="s">
        <v>186</v>
      </c>
      <c r="E52" s="74">
        <v>816</v>
      </c>
      <c r="F52" s="52">
        <v>816</v>
      </c>
      <c r="G52" s="50">
        <f t="shared" si="8"/>
        <v>61.199999999999996</v>
      </c>
      <c r="H52" s="50">
        <f t="shared" si="9"/>
        <v>116.27999999999999</v>
      </c>
      <c r="I52" s="51">
        <f t="shared" si="5"/>
        <v>3.3000000000000003</v>
      </c>
      <c r="J52" s="52"/>
      <c r="K52" s="52"/>
      <c r="L52" s="53"/>
      <c r="M52" s="54">
        <f t="shared" si="6"/>
        <v>751.5</v>
      </c>
      <c r="N52" s="55">
        <f t="shared" si="7"/>
        <v>932.28</v>
      </c>
      <c r="O52" s="33" t="s">
        <v>54</v>
      </c>
      <c r="P52" s="60" t="s">
        <v>184</v>
      </c>
      <c r="Q52" s="60" t="s">
        <v>185</v>
      </c>
      <c r="R52" s="61" t="s">
        <v>59</v>
      </c>
      <c r="S52" s="62">
        <v>329111</v>
      </c>
      <c r="T52" s="60" t="s">
        <v>56</v>
      </c>
    </row>
    <row r="53" spans="1:22" x14ac:dyDescent="0.2">
      <c r="A53" s="45">
        <v>49</v>
      </c>
      <c r="B53" s="71" t="s">
        <v>187</v>
      </c>
      <c r="C53" s="46" t="s">
        <v>188</v>
      </c>
      <c r="D53" s="75" t="s">
        <v>189</v>
      </c>
      <c r="E53" s="74">
        <v>600</v>
      </c>
      <c r="F53" s="52">
        <v>600</v>
      </c>
      <c r="G53" s="50">
        <f t="shared" si="8"/>
        <v>45</v>
      </c>
      <c r="H53" s="50">
        <f t="shared" si="9"/>
        <v>85.499999999999986</v>
      </c>
      <c r="I53" s="51">
        <f t="shared" ref="I53:I72" si="10">(IF((O53="No"),(IF((($F53*12)-9000)&lt;0,0,(IF((($F53*12)-9000)&gt;20000,(5000*5%+5000*10%+5000*15%+5000*20%+((($F53*12)-9000)-20000)*25%),IF((($F53*12)-9000)&gt;15000,(5000*5%+5000*10%+5000*15%+((($F53*12)-9000)-15000)*20%),IF((($F53*12)-9000)&gt;10000,(5000*5%+5000*10%+((($F53*12)-9000)-10000)*15%),IF((($F53*12)-9000)&gt;5000,(5000*5%+((($F53*12)-9000)-5000)*10%),IF((($F53*12)-9000)&lt;5000,(($F53*12)-9000)*5%)))))))),((IF((($F53*12)-18000)&lt;0,0,(IF((($F53*12)-18000)&gt;20000,(5000*5%+5000*10%+5000*15%+5000*20%+((($F53*12)-18000)-20000)*25%),IF((($F53*12)-18000)&gt;15000,(5000*5%+5000*10%+5000*15%+((($F53*12)-18000)-15000)*20%),IF((($F53*12)-18000)&gt;10000,(5000*5%+5000*10%+((($F53*12)-18000)-10000)*15%),IF((($F53*12)-18000)&gt;5000,(5000*5%+((($F53*12)-18000)-5000)*10%),IF((($F53*12)-18000)&lt;5000,(($F53*12)-18000)*5%))))))))))/12)</f>
        <v>0</v>
      </c>
      <c r="J53" s="52"/>
      <c r="K53" s="52"/>
      <c r="L53" s="53"/>
      <c r="M53" s="54">
        <f t="shared" si="6"/>
        <v>555</v>
      </c>
      <c r="N53" s="55">
        <f t="shared" si="7"/>
        <v>685.5</v>
      </c>
      <c r="O53" s="33" t="s">
        <v>54</v>
      </c>
      <c r="P53" s="60" t="s">
        <v>187</v>
      </c>
      <c r="Q53" s="60" t="s">
        <v>188</v>
      </c>
      <c r="R53" s="61" t="s">
        <v>59</v>
      </c>
      <c r="S53" s="62">
        <v>131111</v>
      </c>
      <c r="T53" s="60" t="s">
        <v>164</v>
      </c>
    </row>
    <row r="54" spans="1:22" x14ac:dyDescent="0.2">
      <c r="A54" s="45">
        <v>50</v>
      </c>
      <c r="B54" s="71" t="s">
        <v>190</v>
      </c>
      <c r="C54" s="46" t="s">
        <v>191</v>
      </c>
      <c r="D54" s="75" t="s">
        <v>186</v>
      </c>
      <c r="E54" s="74">
        <v>900</v>
      </c>
      <c r="F54" s="52">
        <v>900</v>
      </c>
      <c r="G54" s="50">
        <f t="shared" si="8"/>
        <v>67.5</v>
      </c>
      <c r="H54" s="50">
        <f t="shared" si="9"/>
        <v>128.25</v>
      </c>
      <c r="I54" s="51">
        <f t="shared" si="10"/>
        <v>7.5</v>
      </c>
      <c r="J54" s="52"/>
      <c r="K54" s="52">
        <v>0</v>
      </c>
      <c r="L54" s="53"/>
      <c r="M54" s="54">
        <f t="shared" si="6"/>
        <v>825</v>
      </c>
      <c r="N54" s="55">
        <f t="shared" si="7"/>
        <v>1028.25</v>
      </c>
      <c r="O54" s="33" t="s">
        <v>54</v>
      </c>
      <c r="P54" s="60" t="s">
        <v>190</v>
      </c>
      <c r="Q54" s="60" t="s">
        <v>191</v>
      </c>
      <c r="R54" s="61" t="s">
        <v>59</v>
      </c>
      <c r="S54" s="62">
        <v>329111</v>
      </c>
      <c r="T54" s="60" t="s">
        <v>56</v>
      </c>
    </row>
    <row r="55" spans="1:22" x14ac:dyDescent="0.2">
      <c r="A55" s="45">
        <v>51</v>
      </c>
      <c r="B55" s="71" t="s">
        <v>192</v>
      </c>
      <c r="C55" s="46" t="s">
        <v>193</v>
      </c>
      <c r="D55" s="75" t="s">
        <v>194</v>
      </c>
      <c r="E55" s="74">
        <v>1843</v>
      </c>
      <c r="F55" s="52">
        <v>1843</v>
      </c>
      <c r="G55" s="50">
        <f t="shared" si="8"/>
        <v>138.22499999999999</v>
      </c>
      <c r="H55" s="50">
        <f t="shared" si="9"/>
        <v>262.6275</v>
      </c>
      <c r="I55" s="51">
        <f t="shared" si="10"/>
        <v>101.45</v>
      </c>
      <c r="J55" s="52"/>
      <c r="K55" s="52"/>
      <c r="L55" s="53"/>
      <c r="M55" s="54">
        <f t="shared" si="6"/>
        <v>1603.325</v>
      </c>
      <c r="N55" s="55">
        <f t="shared" si="7"/>
        <v>2105.6275000000001</v>
      </c>
      <c r="O55" s="33" t="s">
        <v>54</v>
      </c>
      <c r="P55" s="60" t="s">
        <v>192</v>
      </c>
      <c r="Q55" s="60" t="s">
        <v>193</v>
      </c>
      <c r="R55" s="61" t="s">
        <v>59</v>
      </c>
      <c r="S55" s="62">
        <v>323111</v>
      </c>
      <c r="T55" s="60" t="s">
        <v>56</v>
      </c>
    </row>
    <row r="56" spans="1:22" ht="15" thickBot="1" x14ac:dyDescent="0.25">
      <c r="A56" s="45">
        <v>52</v>
      </c>
      <c r="B56" s="71" t="s">
        <v>195</v>
      </c>
      <c r="C56" s="46" t="s">
        <v>196</v>
      </c>
      <c r="D56" s="75" t="s">
        <v>186</v>
      </c>
      <c r="E56" s="74">
        <v>945</v>
      </c>
      <c r="F56" s="52">
        <v>945</v>
      </c>
      <c r="G56" s="50">
        <f t="shared" si="8"/>
        <v>70.875</v>
      </c>
      <c r="H56" s="50">
        <f t="shared" si="9"/>
        <v>134.66249999999999</v>
      </c>
      <c r="I56" s="51">
        <f t="shared" si="10"/>
        <v>9.75</v>
      </c>
      <c r="J56" s="52"/>
      <c r="K56" s="52"/>
      <c r="L56" s="53"/>
      <c r="M56" s="54">
        <f t="shared" si="6"/>
        <v>864.375</v>
      </c>
      <c r="N56" s="55">
        <f t="shared" si="7"/>
        <v>1079.6624999999999</v>
      </c>
      <c r="O56" s="33" t="s">
        <v>54</v>
      </c>
      <c r="P56" s="60" t="s">
        <v>195</v>
      </c>
      <c r="Q56" s="60" t="s">
        <v>196</v>
      </c>
      <c r="R56" s="61" t="s">
        <v>59</v>
      </c>
      <c r="S56" s="62">
        <v>329111</v>
      </c>
      <c r="T56" s="60" t="s">
        <v>56</v>
      </c>
    </row>
    <row r="57" spans="1:22" x14ac:dyDescent="0.2">
      <c r="A57" s="63">
        <v>53</v>
      </c>
      <c r="B57" s="71" t="s">
        <v>197</v>
      </c>
      <c r="C57" s="46" t="s">
        <v>198</v>
      </c>
      <c r="D57" s="75" t="s">
        <v>199</v>
      </c>
      <c r="E57" s="74">
        <v>1420</v>
      </c>
      <c r="F57" s="52">
        <v>1420</v>
      </c>
      <c r="G57" s="50">
        <f t="shared" si="8"/>
        <v>106.5</v>
      </c>
      <c r="H57" s="50">
        <f t="shared" si="9"/>
        <v>202.35</v>
      </c>
      <c r="I57" s="51">
        <f t="shared" si="10"/>
        <v>46.166666666666664</v>
      </c>
      <c r="J57" s="52"/>
      <c r="K57" s="52"/>
      <c r="L57" s="53"/>
      <c r="M57" s="54">
        <f t="shared" si="6"/>
        <v>1267.3333333333333</v>
      </c>
      <c r="N57" s="55">
        <f t="shared" si="7"/>
        <v>1622.35</v>
      </c>
      <c r="O57" s="33" t="s">
        <v>54</v>
      </c>
      <c r="P57" s="60" t="s">
        <v>197</v>
      </c>
      <c r="Q57" s="60" t="s">
        <v>198</v>
      </c>
      <c r="R57" s="61" t="s">
        <v>55</v>
      </c>
      <c r="S57" s="62">
        <v>323111</v>
      </c>
      <c r="T57" s="60" t="s">
        <v>56</v>
      </c>
    </row>
    <row r="58" spans="1:22" x14ac:dyDescent="0.2">
      <c r="A58" s="45">
        <v>54</v>
      </c>
      <c r="B58" s="71" t="s">
        <v>200</v>
      </c>
      <c r="C58" s="46" t="s">
        <v>201</v>
      </c>
      <c r="D58" s="75" t="s">
        <v>133</v>
      </c>
      <c r="E58" s="74">
        <v>1846</v>
      </c>
      <c r="F58" s="74">
        <v>1846</v>
      </c>
      <c r="G58" s="50">
        <f t="shared" si="8"/>
        <v>138.44999999999999</v>
      </c>
      <c r="H58" s="50">
        <f t="shared" si="9"/>
        <v>263.05499999999995</v>
      </c>
      <c r="I58" s="51">
        <f t="shared" si="10"/>
        <v>17.3</v>
      </c>
      <c r="J58" s="52"/>
      <c r="K58" s="52"/>
      <c r="L58" s="53"/>
      <c r="M58" s="54">
        <f t="shared" si="6"/>
        <v>1690.25</v>
      </c>
      <c r="N58" s="55">
        <f t="shared" si="7"/>
        <v>2109.0549999999998</v>
      </c>
      <c r="O58" s="33" t="s">
        <v>69</v>
      </c>
      <c r="P58" s="60" t="s">
        <v>200</v>
      </c>
      <c r="Q58" s="60" t="s">
        <v>201</v>
      </c>
      <c r="R58" s="61" t="s">
        <v>59</v>
      </c>
      <c r="S58" s="62">
        <v>323111</v>
      </c>
      <c r="T58" s="60" t="s">
        <v>56</v>
      </c>
    </row>
    <row r="59" spans="1:22" x14ac:dyDescent="0.2">
      <c r="A59" s="45">
        <v>55</v>
      </c>
      <c r="B59" s="71" t="s">
        <v>202</v>
      </c>
      <c r="C59" s="46" t="s">
        <v>203</v>
      </c>
      <c r="D59" s="76" t="s">
        <v>204</v>
      </c>
      <c r="E59" s="74">
        <v>320</v>
      </c>
      <c r="F59" s="52">
        <v>320</v>
      </c>
      <c r="G59" s="50">
        <f t="shared" si="8"/>
        <v>24</v>
      </c>
      <c r="H59" s="50">
        <f t="shared" si="9"/>
        <v>45.599999999999994</v>
      </c>
      <c r="I59" s="51">
        <f t="shared" si="10"/>
        <v>0</v>
      </c>
      <c r="J59" s="52"/>
      <c r="K59" s="52"/>
      <c r="L59" s="53"/>
      <c r="M59" s="54">
        <f t="shared" si="6"/>
        <v>296</v>
      </c>
      <c r="N59" s="55">
        <f t="shared" si="7"/>
        <v>365.6</v>
      </c>
      <c r="O59" s="33" t="s">
        <v>54</v>
      </c>
      <c r="P59" s="60" t="s">
        <v>202</v>
      </c>
      <c r="Q59" s="60" t="s">
        <v>203</v>
      </c>
      <c r="R59" s="61" t="s">
        <v>59</v>
      </c>
      <c r="S59" s="77">
        <v>326111</v>
      </c>
      <c r="T59" s="60" t="s">
        <v>56</v>
      </c>
    </row>
    <row r="60" spans="1:22" x14ac:dyDescent="0.2">
      <c r="A60" s="45">
        <v>56</v>
      </c>
      <c r="B60" s="71" t="s">
        <v>205</v>
      </c>
      <c r="C60" s="46" t="s">
        <v>206</v>
      </c>
      <c r="D60" s="78" t="s">
        <v>207</v>
      </c>
      <c r="E60" s="79">
        <v>1562</v>
      </c>
      <c r="F60" s="52">
        <v>1562</v>
      </c>
      <c r="G60" s="50">
        <f t="shared" si="8"/>
        <v>117.14999999999999</v>
      </c>
      <c r="H60" s="50">
        <f t="shared" si="9"/>
        <v>222.58499999999998</v>
      </c>
      <c r="I60" s="51">
        <f t="shared" si="10"/>
        <v>60.366666666666674</v>
      </c>
      <c r="J60" s="52"/>
      <c r="K60" s="52"/>
      <c r="L60" s="53"/>
      <c r="M60" s="54">
        <f t="shared" si="6"/>
        <v>1384.4833333333333</v>
      </c>
      <c r="N60" s="55">
        <f t="shared" si="7"/>
        <v>1784.585</v>
      </c>
      <c r="O60" s="33" t="s">
        <v>54</v>
      </c>
      <c r="P60" s="60" t="s">
        <v>205</v>
      </c>
      <c r="Q60" s="60" t="s">
        <v>206</v>
      </c>
      <c r="R60" s="61" t="s">
        <v>59</v>
      </c>
      <c r="S60" s="77">
        <v>329111</v>
      </c>
      <c r="T60" s="60" t="s">
        <v>56</v>
      </c>
      <c r="U60">
        <v>1948.9433333333334</v>
      </c>
      <c r="V60">
        <f>U60-M60</f>
        <v>564.46</v>
      </c>
    </row>
    <row r="61" spans="1:22" x14ac:dyDescent="0.2">
      <c r="A61" s="45">
        <v>57</v>
      </c>
      <c r="B61" s="71" t="s">
        <v>208</v>
      </c>
      <c r="C61" s="46" t="s">
        <v>209</v>
      </c>
      <c r="D61" s="76" t="s">
        <v>210</v>
      </c>
      <c r="E61" s="74">
        <v>2980</v>
      </c>
      <c r="F61" s="52">
        <v>2980</v>
      </c>
      <c r="G61" s="50">
        <f t="shared" si="8"/>
        <v>223.5</v>
      </c>
      <c r="H61" s="50">
        <f t="shared" si="9"/>
        <v>424.65</v>
      </c>
      <c r="I61" s="51">
        <f t="shared" si="10"/>
        <v>171</v>
      </c>
      <c r="J61" s="52"/>
      <c r="K61" s="52"/>
      <c r="L61" s="53"/>
      <c r="M61" s="54">
        <f t="shared" si="6"/>
        <v>2585.5</v>
      </c>
      <c r="N61" s="55">
        <f t="shared" si="7"/>
        <v>3404.65</v>
      </c>
      <c r="O61" s="33" t="s">
        <v>69</v>
      </c>
      <c r="P61" s="60" t="s">
        <v>208</v>
      </c>
      <c r="Q61" s="60" t="s">
        <v>209</v>
      </c>
      <c r="R61" s="61" t="s">
        <v>59</v>
      </c>
      <c r="S61" s="77">
        <v>329111</v>
      </c>
      <c r="T61" s="60" t="s">
        <v>56</v>
      </c>
    </row>
    <row r="62" spans="1:22" x14ac:dyDescent="0.2">
      <c r="A62" s="45">
        <v>58</v>
      </c>
      <c r="B62" s="71" t="s">
        <v>211</v>
      </c>
      <c r="C62" s="46" t="s">
        <v>212</v>
      </c>
      <c r="D62" s="76" t="s">
        <v>213</v>
      </c>
      <c r="E62" s="74">
        <v>1350</v>
      </c>
      <c r="F62" s="52">
        <v>1350</v>
      </c>
      <c r="G62" s="50">
        <f t="shared" si="8"/>
        <v>101.25</v>
      </c>
      <c r="H62" s="50">
        <f t="shared" si="9"/>
        <v>192.37499999999997</v>
      </c>
      <c r="I62" s="51">
        <f t="shared" si="10"/>
        <v>39.166666666666664</v>
      </c>
      <c r="J62" s="52"/>
      <c r="K62" s="52"/>
      <c r="L62" s="53"/>
      <c r="M62" s="54">
        <f t="shared" si="6"/>
        <v>1209.5833333333333</v>
      </c>
      <c r="N62" s="55">
        <f t="shared" si="7"/>
        <v>1542.375</v>
      </c>
      <c r="O62" s="33" t="s">
        <v>54</v>
      </c>
      <c r="P62" s="60" t="s">
        <v>211</v>
      </c>
      <c r="Q62" s="60" t="s">
        <v>212</v>
      </c>
      <c r="R62" s="61" t="s">
        <v>59</v>
      </c>
      <c r="S62" s="77">
        <v>329111</v>
      </c>
      <c r="T62" s="60" t="s">
        <v>56</v>
      </c>
    </row>
    <row r="63" spans="1:22" ht="15" thickBot="1" x14ac:dyDescent="0.25">
      <c r="A63" s="45">
        <v>59</v>
      </c>
      <c r="B63" s="71" t="s">
        <v>214</v>
      </c>
      <c r="C63" s="46" t="s">
        <v>215</v>
      </c>
      <c r="D63" s="76" t="s">
        <v>216</v>
      </c>
      <c r="E63" s="74">
        <v>1846</v>
      </c>
      <c r="F63" s="52">
        <v>1846</v>
      </c>
      <c r="G63" s="50">
        <f t="shared" si="8"/>
        <v>138.44999999999999</v>
      </c>
      <c r="H63" s="50">
        <f t="shared" si="9"/>
        <v>263.05499999999995</v>
      </c>
      <c r="I63" s="51">
        <f t="shared" si="10"/>
        <v>101.89999999999999</v>
      </c>
      <c r="J63" s="52"/>
      <c r="K63" s="52"/>
      <c r="L63" s="53"/>
      <c r="M63" s="54">
        <f t="shared" si="6"/>
        <v>1605.65</v>
      </c>
      <c r="N63" s="55">
        <f t="shared" si="7"/>
        <v>2109.0549999999998</v>
      </c>
      <c r="O63" s="33" t="s">
        <v>54</v>
      </c>
      <c r="P63" s="60" t="s">
        <v>214</v>
      </c>
      <c r="Q63" s="60" t="s">
        <v>215</v>
      </c>
      <c r="R63" s="61" t="s">
        <v>55</v>
      </c>
      <c r="S63" s="77">
        <v>325311</v>
      </c>
      <c r="T63" s="60" t="s">
        <v>56</v>
      </c>
    </row>
    <row r="64" spans="1:22" x14ac:dyDescent="0.2">
      <c r="A64" s="63">
        <v>60</v>
      </c>
      <c r="B64" s="71" t="s">
        <v>217</v>
      </c>
      <c r="C64" s="46" t="s">
        <v>218</v>
      </c>
      <c r="D64" s="76" t="s">
        <v>219</v>
      </c>
      <c r="E64" s="74">
        <v>1275</v>
      </c>
      <c r="F64" s="52">
        <v>1275</v>
      </c>
      <c r="G64" s="50">
        <f t="shared" si="8"/>
        <v>95.625</v>
      </c>
      <c r="H64" s="50">
        <f t="shared" si="9"/>
        <v>181.68749999999997</v>
      </c>
      <c r="I64" s="51">
        <f t="shared" si="10"/>
        <v>31.666666666666668</v>
      </c>
      <c r="J64" s="52"/>
      <c r="K64" s="52"/>
      <c r="L64" s="53"/>
      <c r="M64" s="54">
        <f t="shared" si="6"/>
        <v>1147.7083333333333</v>
      </c>
      <c r="N64" s="55">
        <f t="shared" si="7"/>
        <v>1456.6875</v>
      </c>
      <c r="O64" s="33" t="s">
        <v>54</v>
      </c>
      <c r="P64" s="60" t="s">
        <v>217</v>
      </c>
      <c r="Q64" s="60" t="s">
        <v>218</v>
      </c>
      <c r="R64" s="61" t="s">
        <v>55</v>
      </c>
      <c r="S64" s="77">
        <v>325311</v>
      </c>
      <c r="T64" s="60" t="s">
        <v>56</v>
      </c>
    </row>
    <row r="65" spans="1:20" x14ac:dyDescent="0.2">
      <c r="A65" s="45">
        <v>61</v>
      </c>
      <c r="B65" s="71" t="s">
        <v>220</v>
      </c>
      <c r="C65" s="46" t="s">
        <v>221</v>
      </c>
      <c r="D65" s="76" t="s">
        <v>222</v>
      </c>
      <c r="E65" s="74">
        <v>2485</v>
      </c>
      <c r="F65" s="52">
        <v>2485</v>
      </c>
      <c r="G65" s="50">
        <f t="shared" si="8"/>
        <v>186.375</v>
      </c>
      <c r="H65" s="50">
        <f t="shared" si="9"/>
        <v>354.11249999999995</v>
      </c>
      <c r="I65" s="51">
        <f t="shared" si="10"/>
        <v>225.41666666666666</v>
      </c>
      <c r="J65" s="52"/>
      <c r="K65" s="52"/>
      <c r="L65" s="53"/>
      <c r="M65" s="54">
        <f t="shared" si="6"/>
        <v>2073.2083333333335</v>
      </c>
      <c r="N65" s="55">
        <f t="shared" si="7"/>
        <v>2839.1125000000002</v>
      </c>
      <c r="O65" s="33" t="s">
        <v>54</v>
      </c>
      <c r="P65" s="60" t="s">
        <v>220</v>
      </c>
      <c r="Q65" s="60" t="s">
        <v>221</v>
      </c>
      <c r="R65" s="61" t="s">
        <v>223</v>
      </c>
      <c r="S65" s="77">
        <v>323111</v>
      </c>
      <c r="T65" s="60" t="s">
        <v>56</v>
      </c>
    </row>
    <row r="66" spans="1:20" x14ac:dyDescent="0.2">
      <c r="A66" s="45">
        <v>62</v>
      </c>
      <c r="B66" s="71" t="s">
        <v>224</v>
      </c>
      <c r="C66" s="46" t="s">
        <v>225</v>
      </c>
      <c r="D66" s="76" t="s">
        <v>226</v>
      </c>
      <c r="E66" s="74">
        <v>530</v>
      </c>
      <c r="F66" s="52">
        <v>530</v>
      </c>
      <c r="G66" s="50">
        <f t="shared" si="8"/>
        <v>39.75</v>
      </c>
      <c r="H66" s="50">
        <f t="shared" si="9"/>
        <v>75.524999999999991</v>
      </c>
      <c r="I66" s="51">
        <f t="shared" si="10"/>
        <v>0</v>
      </c>
      <c r="J66" s="52"/>
      <c r="K66" s="52"/>
      <c r="L66" s="53"/>
      <c r="M66" s="54">
        <f t="shared" si="6"/>
        <v>490.25</v>
      </c>
      <c r="N66" s="55">
        <f t="shared" si="7"/>
        <v>605.52499999999998</v>
      </c>
      <c r="O66" s="33" t="s">
        <v>54</v>
      </c>
      <c r="P66" s="60" t="s">
        <v>224</v>
      </c>
      <c r="Q66" s="60" t="s">
        <v>225</v>
      </c>
      <c r="R66" s="61" t="s">
        <v>55</v>
      </c>
      <c r="S66" s="77">
        <v>323111</v>
      </c>
      <c r="T66" s="60" t="s">
        <v>56</v>
      </c>
    </row>
    <row r="67" spans="1:20" x14ac:dyDescent="0.2">
      <c r="A67" s="45">
        <v>63</v>
      </c>
      <c r="B67" s="71" t="s">
        <v>227</v>
      </c>
      <c r="C67" s="46" t="s">
        <v>228</v>
      </c>
      <c r="D67" s="76" t="s">
        <v>229</v>
      </c>
      <c r="E67" s="74">
        <v>2600</v>
      </c>
      <c r="F67" s="52">
        <v>2600</v>
      </c>
      <c r="G67" s="50">
        <f t="shared" si="8"/>
        <v>195</v>
      </c>
      <c r="H67" s="50">
        <f t="shared" si="9"/>
        <v>370.49999999999994</v>
      </c>
      <c r="I67" s="51">
        <f t="shared" si="10"/>
        <v>254.16666666666666</v>
      </c>
      <c r="J67" s="52"/>
      <c r="K67" s="52"/>
      <c r="L67" s="53"/>
      <c r="M67" s="54">
        <f t="shared" si="6"/>
        <v>2150.8333333333335</v>
      </c>
      <c r="N67" s="55">
        <f t="shared" si="7"/>
        <v>2970.5</v>
      </c>
      <c r="O67" s="33" t="s">
        <v>54</v>
      </c>
      <c r="P67" s="60" t="s">
        <v>227</v>
      </c>
      <c r="Q67" s="60" t="s">
        <v>228</v>
      </c>
      <c r="R67" s="61" t="s">
        <v>55</v>
      </c>
      <c r="S67" s="77">
        <v>325311</v>
      </c>
      <c r="T67" s="60" t="s">
        <v>56</v>
      </c>
    </row>
    <row r="68" spans="1:20" x14ac:dyDescent="0.2">
      <c r="A68" s="45">
        <v>64</v>
      </c>
      <c r="B68" s="71" t="s">
        <v>230</v>
      </c>
      <c r="C68" s="46" t="s">
        <v>231</v>
      </c>
      <c r="D68" s="76" t="s">
        <v>232</v>
      </c>
      <c r="E68" s="74">
        <v>1100</v>
      </c>
      <c r="F68" s="52">
        <v>1100</v>
      </c>
      <c r="G68" s="50">
        <f t="shared" si="8"/>
        <v>82.5</v>
      </c>
      <c r="H68" s="50">
        <f t="shared" si="9"/>
        <v>156.75</v>
      </c>
      <c r="I68" s="51">
        <f t="shared" si="10"/>
        <v>17.5</v>
      </c>
      <c r="J68" s="52"/>
      <c r="K68" s="52"/>
      <c r="L68" s="53"/>
      <c r="M68" s="54">
        <f t="shared" si="6"/>
        <v>1000</v>
      </c>
      <c r="N68" s="55">
        <f t="shared" si="7"/>
        <v>1256.75</v>
      </c>
      <c r="O68" s="33" t="s">
        <v>54</v>
      </c>
      <c r="P68" s="60" t="s">
        <v>230</v>
      </c>
      <c r="Q68" s="60" t="s">
        <v>231</v>
      </c>
      <c r="R68" s="61"/>
      <c r="S68" s="77">
        <v>325311</v>
      </c>
      <c r="T68" s="60" t="s">
        <v>56</v>
      </c>
    </row>
    <row r="69" spans="1:20" x14ac:dyDescent="0.2">
      <c r="A69" s="45">
        <v>65</v>
      </c>
      <c r="B69" s="71" t="s">
        <v>233</v>
      </c>
      <c r="C69" s="46" t="s">
        <v>234</v>
      </c>
      <c r="D69" s="76" t="s">
        <v>204</v>
      </c>
      <c r="E69" s="80">
        <v>395</v>
      </c>
      <c r="F69" s="81">
        <v>395</v>
      </c>
      <c r="G69" s="50">
        <f t="shared" si="8"/>
        <v>29.625</v>
      </c>
      <c r="H69" s="50">
        <f t="shared" si="9"/>
        <v>56.287499999999994</v>
      </c>
      <c r="I69" s="51">
        <f t="shared" si="10"/>
        <v>0</v>
      </c>
      <c r="J69" s="52"/>
      <c r="K69" s="52"/>
      <c r="L69" s="53"/>
      <c r="M69" s="54">
        <f t="shared" ref="M69:M100" si="11">(F69+K69)-SUM(G69,I69,J69,L69)</f>
        <v>365.375</v>
      </c>
      <c r="N69" s="55">
        <f t="shared" ref="N69:N100" si="12">F69+H69</f>
        <v>451.28750000000002</v>
      </c>
      <c r="O69" s="33" t="s">
        <v>54</v>
      </c>
      <c r="P69" s="60" t="s">
        <v>233</v>
      </c>
      <c r="Q69" s="60" t="s">
        <v>234</v>
      </c>
      <c r="R69" s="61"/>
      <c r="S69" s="77">
        <v>329111</v>
      </c>
      <c r="T69" s="60" t="s">
        <v>56</v>
      </c>
    </row>
    <row r="70" spans="1:20" ht="15" thickBot="1" x14ac:dyDescent="0.25">
      <c r="A70" s="45">
        <v>66</v>
      </c>
      <c r="B70" s="71" t="s">
        <v>235</v>
      </c>
      <c r="C70" s="46" t="s">
        <v>236</v>
      </c>
      <c r="D70" s="76" t="s">
        <v>204</v>
      </c>
      <c r="E70" s="80">
        <v>395</v>
      </c>
      <c r="F70" s="81">
        <v>395</v>
      </c>
      <c r="G70" s="50">
        <f t="shared" si="8"/>
        <v>29.625</v>
      </c>
      <c r="H70" s="50">
        <f t="shared" si="9"/>
        <v>56.287499999999994</v>
      </c>
      <c r="I70" s="51">
        <f t="shared" si="10"/>
        <v>0</v>
      </c>
      <c r="J70" s="52"/>
      <c r="K70" s="52"/>
      <c r="L70" s="53"/>
      <c r="M70" s="54">
        <f t="shared" si="11"/>
        <v>365.375</v>
      </c>
      <c r="N70" s="55">
        <f t="shared" si="12"/>
        <v>451.28750000000002</v>
      </c>
      <c r="O70" s="33" t="s">
        <v>54</v>
      </c>
      <c r="P70" s="60" t="s">
        <v>235</v>
      </c>
      <c r="Q70" s="60" t="s">
        <v>236</v>
      </c>
      <c r="R70" s="61"/>
      <c r="S70" s="77">
        <v>329111</v>
      </c>
      <c r="T70" s="60" t="s">
        <v>56</v>
      </c>
    </row>
    <row r="71" spans="1:20" x14ac:dyDescent="0.2">
      <c r="A71" s="63">
        <v>67</v>
      </c>
      <c r="B71" s="71" t="s">
        <v>237</v>
      </c>
      <c r="C71" s="46" t="s">
        <v>238</v>
      </c>
      <c r="D71" s="76" t="s">
        <v>239</v>
      </c>
      <c r="E71" s="74">
        <v>3000</v>
      </c>
      <c r="F71" s="52">
        <v>3000</v>
      </c>
      <c r="G71" s="50">
        <f t="shared" ref="G71:G97" si="13">E71*0.075</f>
        <v>225</v>
      </c>
      <c r="H71" s="50">
        <f t="shared" ref="H71:H97" si="14">E71*0.1425</f>
        <v>427.49999999999994</v>
      </c>
      <c r="I71" s="51">
        <f t="shared" si="10"/>
        <v>175</v>
      </c>
      <c r="J71" s="52"/>
      <c r="K71" s="52"/>
      <c r="L71" s="53"/>
      <c r="M71" s="54">
        <f t="shared" si="11"/>
        <v>2600</v>
      </c>
      <c r="N71" s="55">
        <f t="shared" si="12"/>
        <v>3427.5</v>
      </c>
      <c r="O71" s="33" t="s">
        <v>69</v>
      </c>
      <c r="P71" s="60" t="s">
        <v>237</v>
      </c>
      <c r="Q71" s="60" t="s">
        <v>238</v>
      </c>
      <c r="R71" s="61"/>
      <c r="S71" s="77">
        <v>323111</v>
      </c>
      <c r="T71" s="60" t="s">
        <v>240</v>
      </c>
    </row>
    <row r="72" spans="1:20" x14ac:dyDescent="0.2">
      <c r="A72" s="45">
        <v>68</v>
      </c>
      <c r="B72" s="71" t="s">
        <v>241</v>
      </c>
      <c r="C72" s="46" t="s">
        <v>242</v>
      </c>
      <c r="D72" s="76" t="s">
        <v>243</v>
      </c>
      <c r="E72" s="74">
        <v>1136</v>
      </c>
      <c r="F72" s="52">
        <v>1136</v>
      </c>
      <c r="G72" s="50">
        <f t="shared" si="13"/>
        <v>85.2</v>
      </c>
      <c r="H72" s="50">
        <f t="shared" si="14"/>
        <v>161.88</v>
      </c>
      <c r="I72" s="51">
        <f t="shared" si="10"/>
        <v>19.3</v>
      </c>
      <c r="J72" s="52"/>
      <c r="K72" s="52"/>
      <c r="L72" s="53"/>
      <c r="M72" s="54">
        <f t="shared" si="11"/>
        <v>1031.5</v>
      </c>
      <c r="N72" s="55">
        <f t="shared" si="12"/>
        <v>1297.8800000000001</v>
      </c>
      <c r="O72" s="33" t="s">
        <v>54</v>
      </c>
      <c r="P72" s="60" t="s">
        <v>241</v>
      </c>
      <c r="Q72" s="60" t="s">
        <v>242</v>
      </c>
      <c r="R72" s="61"/>
      <c r="S72" s="77">
        <v>327111</v>
      </c>
      <c r="T72" s="60" t="s">
        <v>56</v>
      </c>
    </row>
    <row r="73" spans="1:20" x14ac:dyDescent="0.2">
      <c r="A73" s="45">
        <v>69</v>
      </c>
      <c r="B73" s="71" t="s">
        <v>244</v>
      </c>
      <c r="C73" s="46" t="s">
        <v>245</v>
      </c>
      <c r="D73" s="76" t="s">
        <v>133</v>
      </c>
      <c r="E73" s="74">
        <v>1455</v>
      </c>
      <c r="F73" s="51">
        <f>1455/31*17</f>
        <v>797.9032258064517</v>
      </c>
      <c r="G73" s="82">
        <f t="shared" si="13"/>
        <v>109.125</v>
      </c>
      <c r="H73" s="50">
        <f t="shared" si="14"/>
        <v>207.33749999999998</v>
      </c>
      <c r="I73" s="83">
        <v>79.206999999999994</v>
      </c>
      <c r="J73" s="52"/>
      <c r="K73" s="51"/>
      <c r="L73" s="83"/>
      <c r="M73" s="54">
        <f t="shared" si="11"/>
        <v>609.57122580645171</v>
      </c>
      <c r="N73" s="55">
        <f t="shared" si="12"/>
        <v>1005.2407258064517</v>
      </c>
      <c r="O73" s="33" t="s">
        <v>69</v>
      </c>
      <c r="P73" s="60" t="s">
        <v>244</v>
      </c>
      <c r="Q73" s="60" t="s">
        <v>245</v>
      </c>
      <c r="R73" s="61"/>
      <c r="S73" s="77">
        <v>323111</v>
      </c>
      <c r="T73" s="60" t="s">
        <v>56</v>
      </c>
    </row>
    <row r="74" spans="1:20" x14ac:dyDescent="0.2">
      <c r="A74" s="45">
        <v>70</v>
      </c>
      <c r="B74" s="71" t="s">
        <v>246</v>
      </c>
      <c r="C74" s="46" t="s">
        <v>247</v>
      </c>
      <c r="D74" s="76" t="s">
        <v>216</v>
      </c>
      <c r="E74" s="74">
        <v>1915</v>
      </c>
      <c r="F74" s="52">
        <v>1915</v>
      </c>
      <c r="G74" s="50">
        <f t="shared" si="13"/>
        <v>143.625</v>
      </c>
      <c r="H74" s="50">
        <f t="shared" si="14"/>
        <v>272.88749999999999</v>
      </c>
      <c r="I74" s="51">
        <f t="shared" ref="I74:I121" si="15">(IF((O74="No"),(IF((($F74*12)-9000)&lt;0,0,(IF((($F74*12)-9000)&gt;20000,(5000*5%+5000*10%+5000*15%+5000*20%+((($F74*12)-9000)-20000)*25%),IF((($F74*12)-9000)&gt;15000,(5000*5%+5000*10%+5000*15%+((($F74*12)-9000)-15000)*20%),IF((($F74*12)-9000)&gt;10000,(5000*5%+5000*10%+((($F74*12)-9000)-10000)*15%),IF((($F74*12)-9000)&gt;5000,(5000*5%+((($F74*12)-9000)-5000)*10%),IF((($F74*12)-9000)&lt;5000,(($F74*12)-9000)*5%)))))))),((IF((($F74*12)-18000)&lt;0,0,(IF((($F74*12)-18000)&gt;20000,(5000*5%+5000*10%+5000*15%+5000*20%+((($F74*12)-18000)-20000)*25%),IF((($F74*12)-18000)&gt;15000,(5000*5%+5000*10%+5000*15%+((($F74*12)-18000)-15000)*20%),IF((($F74*12)-18000)&gt;10000,(5000*5%+5000*10%+((($F74*12)-18000)-10000)*15%),IF((($F74*12)-18000)&gt;5000,(5000*5%+((($F74*12)-18000)-5000)*10%),IF((($F74*12)-18000)&lt;5000,(($F74*12)-18000)*5%))))))))))/12)</f>
        <v>20.75</v>
      </c>
      <c r="J74" s="52"/>
      <c r="K74" s="52"/>
      <c r="L74" s="53"/>
      <c r="M74" s="54">
        <f t="shared" si="11"/>
        <v>1750.625</v>
      </c>
      <c r="N74" s="55">
        <f t="shared" si="12"/>
        <v>2187.8874999999998</v>
      </c>
      <c r="O74" s="33" t="s">
        <v>69</v>
      </c>
      <c r="P74" s="60" t="s">
        <v>246</v>
      </c>
      <c r="Q74" s="60" t="s">
        <v>247</v>
      </c>
      <c r="R74" s="61"/>
      <c r="S74" s="77">
        <v>325311</v>
      </c>
      <c r="T74" s="60" t="s">
        <v>56</v>
      </c>
    </row>
    <row r="75" spans="1:20" x14ac:dyDescent="0.2">
      <c r="A75" s="45">
        <v>71</v>
      </c>
      <c r="B75" s="84" t="s">
        <v>248</v>
      </c>
      <c r="C75" s="46" t="s">
        <v>249</v>
      </c>
      <c r="D75" s="76" t="s">
        <v>250</v>
      </c>
      <c r="E75" s="74">
        <v>1207</v>
      </c>
      <c r="F75" s="52">
        <v>1207</v>
      </c>
      <c r="G75" s="50">
        <f t="shared" si="13"/>
        <v>90.524999999999991</v>
      </c>
      <c r="H75" s="50">
        <f t="shared" si="14"/>
        <v>171.99749999999997</v>
      </c>
      <c r="I75" s="51">
        <f t="shared" si="15"/>
        <v>24.866666666666664</v>
      </c>
      <c r="J75" s="52"/>
      <c r="K75" s="52"/>
      <c r="L75" s="53"/>
      <c r="M75" s="54">
        <f t="shared" si="11"/>
        <v>1091.6083333333333</v>
      </c>
      <c r="N75" s="55">
        <f t="shared" si="12"/>
        <v>1378.9974999999999</v>
      </c>
      <c r="O75" s="33" t="s">
        <v>54</v>
      </c>
      <c r="P75" s="60" t="s">
        <v>248</v>
      </c>
      <c r="Q75" s="60" t="s">
        <v>249</v>
      </c>
      <c r="R75" s="85"/>
      <c r="S75" s="86">
        <v>325411</v>
      </c>
      <c r="T75" s="87" t="s">
        <v>56</v>
      </c>
    </row>
    <row r="76" spans="1:20" x14ac:dyDescent="0.2">
      <c r="A76" s="45">
        <v>72</v>
      </c>
      <c r="B76" s="84" t="s">
        <v>251</v>
      </c>
      <c r="C76" s="46" t="s">
        <v>252</v>
      </c>
      <c r="D76" s="76" t="s">
        <v>253</v>
      </c>
      <c r="E76" s="74">
        <v>1560</v>
      </c>
      <c r="F76" s="52">
        <v>1560</v>
      </c>
      <c r="G76" s="50">
        <f t="shared" si="13"/>
        <v>117</v>
      </c>
      <c r="H76" s="50">
        <f t="shared" si="14"/>
        <v>222.29999999999998</v>
      </c>
      <c r="I76" s="51">
        <f t="shared" si="15"/>
        <v>60.166666666666664</v>
      </c>
      <c r="J76" s="52"/>
      <c r="K76" s="52"/>
      <c r="L76" s="53"/>
      <c r="M76" s="54">
        <f t="shared" si="11"/>
        <v>1382.8333333333333</v>
      </c>
      <c r="N76" s="55">
        <f t="shared" si="12"/>
        <v>1782.3</v>
      </c>
      <c r="O76" s="33" t="s">
        <v>54</v>
      </c>
      <c r="P76" s="60" t="s">
        <v>251</v>
      </c>
      <c r="Q76" s="60" t="s">
        <v>252</v>
      </c>
      <c r="R76" s="85"/>
      <c r="S76" s="86">
        <v>318223</v>
      </c>
      <c r="T76" s="87" t="s">
        <v>254</v>
      </c>
    </row>
    <row r="77" spans="1:20" ht="15" thickBot="1" x14ac:dyDescent="0.25">
      <c r="A77" s="45">
        <v>73</v>
      </c>
      <c r="B77" s="84" t="s">
        <v>255</v>
      </c>
      <c r="C77" s="46" t="s">
        <v>256</v>
      </c>
      <c r="D77" s="76" t="s">
        <v>257</v>
      </c>
      <c r="E77" s="74">
        <v>2500</v>
      </c>
      <c r="F77" s="52">
        <v>2500</v>
      </c>
      <c r="G77" s="50">
        <f t="shared" si="13"/>
        <v>187.5</v>
      </c>
      <c r="H77" s="50">
        <f t="shared" si="14"/>
        <v>356.24999999999994</v>
      </c>
      <c r="I77" s="51">
        <f t="shared" si="15"/>
        <v>87.5</v>
      </c>
      <c r="J77" s="52"/>
      <c r="K77" s="52"/>
      <c r="L77" s="53"/>
      <c r="M77" s="54">
        <f t="shared" si="11"/>
        <v>2225</v>
      </c>
      <c r="N77" s="55">
        <f t="shared" si="12"/>
        <v>2856.25</v>
      </c>
      <c r="O77" s="33" t="s">
        <v>69</v>
      </c>
      <c r="P77" s="60" t="s">
        <v>255</v>
      </c>
      <c r="Q77" s="60" t="s">
        <v>256</v>
      </c>
      <c r="R77" s="85"/>
      <c r="S77" s="86">
        <v>323111</v>
      </c>
      <c r="T77" s="87" t="s">
        <v>240</v>
      </c>
    </row>
    <row r="78" spans="1:20" x14ac:dyDescent="0.2">
      <c r="A78" s="63">
        <v>74</v>
      </c>
      <c r="B78" s="84" t="s">
        <v>258</v>
      </c>
      <c r="C78" s="46" t="s">
        <v>259</v>
      </c>
      <c r="D78" s="76" t="s">
        <v>260</v>
      </c>
      <c r="E78" s="74">
        <v>700</v>
      </c>
      <c r="F78" s="52">
        <v>700</v>
      </c>
      <c r="G78" s="50">
        <f t="shared" si="13"/>
        <v>52.5</v>
      </c>
      <c r="H78" s="50">
        <f t="shared" si="14"/>
        <v>99.749999999999986</v>
      </c>
      <c r="I78" s="51">
        <f t="shared" si="15"/>
        <v>0</v>
      </c>
      <c r="J78" s="52"/>
      <c r="K78" s="52"/>
      <c r="L78" s="53"/>
      <c r="M78" s="54">
        <f t="shared" si="11"/>
        <v>647.5</v>
      </c>
      <c r="N78" s="55">
        <f t="shared" si="12"/>
        <v>799.75</v>
      </c>
      <c r="O78" s="33" t="s">
        <v>54</v>
      </c>
      <c r="P78" s="60" t="s">
        <v>258</v>
      </c>
      <c r="Q78" s="60" t="s">
        <v>259</v>
      </c>
      <c r="R78" s="85"/>
      <c r="S78" s="86">
        <v>131111</v>
      </c>
      <c r="T78" s="87" t="s">
        <v>164</v>
      </c>
    </row>
    <row r="79" spans="1:20" x14ac:dyDescent="0.2">
      <c r="A79" s="45">
        <v>75</v>
      </c>
      <c r="B79" s="84" t="s">
        <v>261</v>
      </c>
      <c r="C79" s="46" t="s">
        <v>262</v>
      </c>
      <c r="D79" s="76" t="s">
        <v>263</v>
      </c>
      <c r="E79" s="74">
        <v>1560</v>
      </c>
      <c r="F79" s="52">
        <v>1560</v>
      </c>
      <c r="G79" s="50">
        <f t="shared" si="13"/>
        <v>117</v>
      </c>
      <c r="H79" s="50">
        <f t="shared" si="14"/>
        <v>222.29999999999998</v>
      </c>
      <c r="I79" s="51">
        <f t="shared" si="15"/>
        <v>3</v>
      </c>
      <c r="J79" s="52"/>
      <c r="K79" s="52"/>
      <c r="L79" s="53"/>
      <c r="M79" s="54">
        <f t="shared" si="11"/>
        <v>1440</v>
      </c>
      <c r="N79" s="55">
        <f t="shared" si="12"/>
        <v>1782.3</v>
      </c>
      <c r="O79" s="33" t="s">
        <v>69</v>
      </c>
      <c r="P79" s="60" t="s">
        <v>261</v>
      </c>
      <c r="Q79" s="60" t="s">
        <v>262</v>
      </c>
      <c r="R79" s="85"/>
      <c r="S79" s="86">
        <v>329111</v>
      </c>
      <c r="T79" s="87" t="s">
        <v>264</v>
      </c>
    </row>
    <row r="80" spans="1:20" x14ac:dyDescent="0.2">
      <c r="A80" s="45">
        <v>76</v>
      </c>
      <c r="B80" s="84" t="s">
        <v>265</v>
      </c>
      <c r="C80" s="46" t="s">
        <v>266</v>
      </c>
      <c r="D80" s="76" t="s">
        <v>263</v>
      </c>
      <c r="E80" s="74">
        <v>1560</v>
      </c>
      <c r="F80" s="52">
        <v>1560</v>
      </c>
      <c r="G80" s="50">
        <f t="shared" si="13"/>
        <v>117</v>
      </c>
      <c r="H80" s="50">
        <f t="shared" si="14"/>
        <v>222.29999999999998</v>
      </c>
      <c r="I80" s="51">
        <f t="shared" si="15"/>
        <v>3</v>
      </c>
      <c r="J80" s="52"/>
      <c r="K80" s="52"/>
      <c r="L80" s="53"/>
      <c r="M80" s="54">
        <f t="shared" si="11"/>
        <v>1440</v>
      </c>
      <c r="N80" s="55">
        <f t="shared" si="12"/>
        <v>1782.3</v>
      </c>
      <c r="O80" s="33" t="s">
        <v>69</v>
      </c>
      <c r="P80" s="60" t="s">
        <v>265</v>
      </c>
      <c r="Q80" s="60" t="s">
        <v>266</v>
      </c>
      <c r="R80" s="85"/>
      <c r="S80" s="86">
        <v>329111</v>
      </c>
      <c r="T80" s="87" t="s">
        <v>264</v>
      </c>
    </row>
    <row r="81" spans="1:20" x14ac:dyDescent="0.2">
      <c r="A81" s="45">
        <v>77</v>
      </c>
      <c r="B81" s="84" t="s">
        <v>267</v>
      </c>
      <c r="C81" s="46" t="s">
        <v>268</v>
      </c>
      <c r="D81" s="76" t="s">
        <v>269</v>
      </c>
      <c r="E81" s="74">
        <v>1420</v>
      </c>
      <c r="F81" s="52">
        <v>1420</v>
      </c>
      <c r="G81" s="50">
        <f t="shared" si="13"/>
        <v>106.5</v>
      </c>
      <c r="H81" s="50">
        <f t="shared" si="14"/>
        <v>202.35</v>
      </c>
      <c r="I81" s="51">
        <f t="shared" si="15"/>
        <v>46.166666666666664</v>
      </c>
      <c r="J81" s="52"/>
      <c r="K81" s="52"/>
      <c r="L81" s="53"/>
      <c r="M81" s="54">
        <f t="shared" si="11"/>
        <v>1267.3333333333333</v>
      </c>
      <c r="N81" s="55">
        <f t="shared" si="12"/>
        <v>1622.35</v>
      </c>
      <c r="O81" s="33" t="s">
        <v>54</v>
      </c>
      <c r="P81" s="60" t="s">
        <v>267</v>
      </c>
      <c r="Q81" s="60" t="s">
        <v>268</v>
      </c>
      <c r="R81" s="85"/>
      <c r="S81" s="86">
        <v>329111</v>
      </c>
      <c r="T81" s="87" t="s">
        <v>264</v>
      </c>
    </row>
    <row r="82" spans="1:20" x14ac:dyDescent="0.2">
      <c r="A82" s="45">
        <v>78</v>
      </c>
      <c r="B82" s="84" t="s">
        <v>270</v>
      </c>
      <c r="C82" s="46" t="s">
        <v>271</v>
      </c>
      <c r="D82" s="76" t="s">
        <v>250</v>
      </c>
      <c r="E82" s="74">
        <v>1207</v>
      </c>
      <c r="F82" s="52">
        <v>1207</v>
      </c>
      <c r="G82" s="50">
        <f t="shared" si="13"/>
        <v>90.524999999999991</v>
      </c>
      <c r="H82" s="50">
        <f t="shared" si="14"/>
        <v>171.99749999999997</v>
      </c>
      <c r="I82" s="51">
        <f t="shared" si="15"/>
        <v>24.866666666666664</v>
      </c>
      <c r="J82" s="52"/>
      <c r="K82" s="52"/>
      <c r="L82" s="53"/>
      <c r="M82" s="54">
        <f t="shared" si="11"/>
        <v>1091.6083333333333</v>
      </c>
      <c r="N82" s="55">
        <f t="shared" si="12"/>
        <v>1378.9974999999999</v>
      </c>
      <c r="O82" s="33" t="s">
        <v>54</v>
      </c>
      <c r="P82" s="60" t="s">
        <v>270</v>
      </c>
      <c r="Q82" s="60" t="s">
        <v>271</v>
      </c>
      <c r="R82" s="85"/>
      <c r="S82" s="86">
        <v>325411</v>
      </c>
      <c r="T82" s="87" t="s">
        <v>56</v>
      </c>
    </row>
    <row r="83" spans="1:20" x14ac:dyDescent="0.2">
      <c r="A83" s="45">
        <v>79</v>
      </c>
      <c r="B83" s="84" t="s">
        <v>272</v>
      </c>
      <c r="C83" s="46" t="s">
        <v>273</v>
      </c>
      <c r="D83" s="76" t="s">
        <v>274</v>
      </c>
      <c r="E83" s="74">
        <v>675</v>
      </c>
      <c r="F83" s="52">
        <v>675</v>
      </c>
      <c r="G83" s="50">
        <f t="shared" si="13"/>
        <v>50.625</v>
      </c>
      <c r="H83" s="50">
        <f t="shared" si="14"/>
        <v>96.187499999999986</v>
      </c>
      <c r="I83" s="51">
        <f t="shared" si="15"/>
        <v>0</v>
      </c>
      <c r="J83" s="52"/>
      <c r="K83" s="52"/>
      <c r="L83" s="53"/>
      <c r="M83" s="54">
        <f t="shared" si="11"/>
        <v>624.375</v>
      </c>
      <c r="N83" s="55">
        <f t="shared" si="12"/>
        <v>771.1875</v>
      </c>
      <c r="O83" s="33" t="s">
        <v>54</v>
      </c>
      <c r="P83" s="60" t="s">
        <v>272</v>
      </c>
      <c r="Q83" s="60" t="s">
        <v>273</v>
      </c>
      <c r="R83" s="85"/>
      <c r="S83" s="86">
        <v>325411</v>
      </c>
      <c r="T83" s="87" t="s">
        <v>275</v>
      </c>
    </row>
    <row r="84" spans="1:20" ht="15" thickBot="1" x14ac:dyDescent="0.25">
      <c r="A84" s="45">
        <v>80</v>
      </c>
      <c r="B84" s="84" t="s">
        <v>276</v>
      </c>
      <c r="C84" s="46" t="s">
        <v>277</v>
      </c>
      <c r="D84" s="76" t="s">
        <v>278</v>
      </c>
      <c r="E84" s="74">
        <v>530</v>
      </c>
      <c r="F84" s="52">
        <v>530</v>
      </c>
      <c r="G84" s="50">
        <f t="shared" si="13"/>
        <v>39.75</v>
      </c>
      <c r="H84" s="50">
        <f t="shared" si="14"/>
        <v>75.524999999999991</v>
      </c>
      <c r="I84" s="51">
        <f t="shared" si="15"/>
        <v>0</v>
      </c>
      <c r="J84" s="52"/>
      <c r="K84" s="52"/>
      <c r="L84" s="53"/>
      <c r="M84" s="54">
        <f t="shared" si="11"/>
        <v>490.25</v>
      </c>
      <c r="N84" s="55">
        <f t="shared" si="12"/>
        <v>605.52499999999998</v>
      </c>
      <c r="O84" s="33" t="s">
        <v>54</v>
      </c>
      <c r="P84" s="60" t="s">
        <v>276</v>
      </c>
      <c r="Q84" s="60" t="s">
        <v>277</v>
      </c>
      <c r="R84" s="85"/>
      <c r="S84" s="86">
        <v>325411</v>
      </c>
      <c r="T84" s="87" t="s">
        <v>275</v>
      </c>
    </row>
    <row r="85" spans="1:20" x14ac:dyDescent="0.2">
      <c r="A85" s="63">
        <v>81</v>
      </c>
      <c r="B85" s="84" t="s">
        <v>279</v>
      </c>
      <c r="C85" s="46" t="s">
        <v>280</v>
      </c>
      <c r="D85" s="76" t="s">
        <v>250</v>
      </c>
      <c r="E85" s="74">
        <v>1280</v>
      </c>
      <c r="F85" s="52">
        <v>1280</v>
      </c>
      <c r="G85" s="50">
        <f t="shared" si="13"/>
        <v>96</v>
      </c>
      <c r="H85" s="50">
        <f t="shared" si="14"/>
        <v>182.39999999999998</v>
      </c>
      <c r="I85" s="51">
        <f t="shared" si="15"/>
        <v>32.166666666666664</v>
      </c>
      <c r="J85" s="52"/>
      <c r="K85" s="52"/>
      <c r="L85" s="53"/>
      <c r="M85" s="54">
        <f t="shared" si="11"/>
        <v>1151.8333333333333</v>
      </c>
      <c r="N85" s="55">
        <f t="shared" si="12"/>
        <v>1462.4</v>
      </c>
      <c r="O85" s="33" t="s">
        <v>54</v>
      </c>
      <c r="P85" s="60" t="s">
        <v>279</v>
      </c>
      <c r="Q85" s="60" t="s">
        <v>281</v>
      </c>
      <c r="R85" s="85"/>
      <c r="S85" s="86">
        <v>325311</v>
      </c>
      <c r="T85" s="87" t="s">
        <v>56</v>
      </c>
    </row>
    <row r="86" spans="1:20" x14ac:dyDescent="0.2">
      <c r="A86" s="45">
        <v>82</v>
      </c>
      <c r="B86" s="84" t="s">
        <v>282</v>
      </c>
      <c r="C86" s="46" t="s">
        <v>283</v>
      </c>
      <c r="D86" s="76" t="s">
        <v>284</v>
      </c>
      <c r="E86" s="74">
        <v>850</v>
      </c>
      <c r="F86" s="52">
        <v>850</v>
      </c>
      <c r="G86" s="50">
        <f t="shared" si="13"/>
        <v>63.75</v>
      </c>
      <c r="H86" s="50">
        <f t="shared" si="14"/>
        <v>121.12499999999999</v>
      </c>
      <c r="I86" s="51">
        <f t="shared" si="15"/>
        <v>5</v>
      </c>
      <c r="J86" s="52"/>
      <c r="K86" s="52"/>
      <c r="L86" s="53"/>
      <c r="M86" s="54">
        <f t="shared" si="11"/>
        <v>781.25</v>
      </c>
      <c r="N86" s="55">
        <f t="shared" si="12"/>
        <v>971.125</v>
      </c>
      <c r="O86" s="33" t="s">
        <v>54</v>
      </c>
      <c r="P86" s="88" t="s">
        <v>282</v>
      </c>
      <c r="Q86" s="88" t="s">
        <v>283</v>
      </c>
      <c r="R86" s="85"/>
      <c r="S86" s="86">
        <v>323111</v>
      </c>
      <c r="T86" s="87" t="s">
        <v>56</v>
      </c>
    </row>
    <row r="87" spans="1:20" x14ac:dyDescent="0.2">
      <c r="A87" s="45">
        <v>83</v>
      </c>
      <c r="B87" s="84" t="s">
        <v>285</v>
      </c>
      <c r="C87" s="46" t="s">
        <v>286</v>
      </c>
      <c r="D87" s="76" t="s">
        <v>287</v>
      </c>
      <c r="E87" s="74">
        <v>550</v>
      </c>
      <c r="F87" s="52">
        <v>550</v>
      </c>
      <c r="G87" s="50">
        <f t="shared" si="13"/>
        <v>41.25</v>
      </c>
      <c r="H87" s="50">
        <f t="shared" si="14"/>
        <v>78.375</v>
      </c>
      <c r="I87" s="51">
        <f t="shared" si="15"/>
        <v>0</v>
      </c>
      <c r="J87" s="52"/>
      <c r="K87" s="52"/>
      <c r="L87" s="53"/>
      <c r="M87" s="54">
        <f t="shared" si="11"/>
        <v>508.75</v>
      </c>
      <c r="N87" s="55">
        <f t="shared" si="12"/>
        <v>628.375</v>
      </c>
      <c r="O87" s="33" t="s">
        <v>54</v>
      </c>
      <c r="P87" s="88" t="s">
        <v>285</v>
      </c>
      <c r="Q87" s="88" t="s">
        <v>286</v>
      </c>
      <c r="R87" s="85"/>
      <c r="S87" s="86">
        <v>323111</v>
      </c>
      <c r="T87" s="87" t="s">
        <v>56</v>
      </c>
    </row>
    <row r="88" spans="1:20" x14ac:dyDescent="0.2">
      <c r="A88" s="45">
        <v>84</v>
      </c>
      <c r="B88" s="84" t="s">
        <v>288</v>
      </c>
      <c r="C88" s="46" t="s">
        <v>289</v>
      </c>
      <c r="D88" s="76" t="s">
        <v>287</v>
      </c>
      <c r="E88" s="74">
        <v>550</v>
      </c>
      <c r="F88" s="52">
        <v>550</v>
      </c>
      <c r="G88" s="50">
        <f t="shared" si="13"/>
        <v>41.25</v>
      </c>
      <c r="H88" s="50">
        <f t="shared" si="14"/>
        <v>78.375</v>
      </c>
      <c r="I88" s="51">
        <f t="shared" si="15"/>
        <v>0</v>
      </c>
      <c r="J88" s="52"/>
      <c r="K88" s="52"/>
      <c r="L88" s="53"/>
      <c r="M88" s="54">
        <f t="shared" si="11"/>
        <v>508.75</v>
      </c>
      <c r="N88" s="55">
        <f t="shared" si="12"/>
        <v>628.375</v>
      </c>
      <c r="O88" s="33" t="s">
        <v>54</v>
      </c>
      <c r="P88" s="88" t="s">
        <v>288</v>
      </c>
      <c r="Q88" s="88" t="s">
        <v>289</v>
      </c>
      <c r="R88" s="85"/>
      <c r="S88" s="86">
        <v>323111</v>
      </c>
      <c r="T88" s="87" t="s">
        <v>56</v>
      </c>
    </row>
    <row r="89" spans="1:20" ht="15" x14ac:dyDescent="0.25">
      <c r="A89" s="45">
        <v>85</v>
      </c>
      <c r="B89" s="84" t="s">
        <v>290</v>
      </c>
      <c r="C89" s="89" t="s">
        <v>291</v>
      </c>
      <c r="D89" s="76" t="s">
        <v>65</v>
      </c>
      <c r="E89" s="74">
        <v>850</v>
      </c>
      <c r="F89" s="52">
        <v>850</v>
      </c>
      <c r="G89" s="50">
        <f t="shared" si="13"/>
        <v>63.75</v>
      </c>
      <c r="H89" s="50">
        <f t="shared" si="14"/>
        <v>121.12499999999999</v>
      </c>
      <c r="I89" s="51">
        <f t="shared" si="15"/>
        <v>5</v>
      </c>
      <c r="J89" s="52"/>
      <c r="K89" s="52"/>
      <c r="L89" s="53"/>
      <c r="M89" s="54">
        <f t="shared" si="11"/>
        <v>781.25</v>
      </c>
      <c r="N89" s="55">
        <f t="shared" si="12"/>
        <v>971.125</v>
      </c>
      <c r="O89" s="33" t="s">
        <v>54</v>
      </c>
      <c r="P89" s="84" t="s">
        <v>290</v>
      </c>
      <c r="Q89" s="89" t="s">
        <v>291</v>
      </c>
      <c r="R89" s="85"/>
      <c r="S89" s="90">
        <v>323111</v>
      </c>
      <c r="T89" s="60" t="s">
        <v>56</v>
      </c>
    </row>
    <row r="90" spans="1:20" ht="15" x14ac:dyDescent="0.25">
      <c r="A90" s="45">
        <v>86</v>
      </c>
      <c r="B90" s="84" t="s">
        <v>292</v>
      </c>
      <c r="C90" s="89" t="s">
        <v>293</v>
      </c>
      <c r="D90" s="76" t="s">
        <v>65</v>
      </c>
      <c r="E90" s="74">
        <v>850</v>
      </c>
      <c r="F90" s="52">
        <v>850</v>
      </c>
      <c r="G90" s="50">
        <f t="shared" si="13"/>
        <v>63.75</v>
      </c>
      <c r="H90" s="50">
        <f t="shared" si="14"/>
        <v>121.12499999999999</v>
      </c>
      <c r="I90" s="51">
        <f t="shared" si="15"/>
        <v>5</v>
      </c>
      <c r="J90" s="52"/>
      <c r="K90" s="52"/>
      <c r="L90" s="53"/>
      <c r="M90" s="54">
        <f t="shared" si="11"/>
        <v>781.25</v>
      </c>
      <c r="N90" s="55">
        <f t="shared" si="12"/>
        <v>971.125</v>
      </c>
      <c r="O90" s="33" t="s">
        <v>54</v>
      </c>
      <c r="P90" s="84" t="s">
        <v>292</v>
      </c>
      <c r="Q90" s="89" t="s">
        <v>293</v>
      </c>
      <c r="R90" s="85"/>
      <c r="S90" s="90">
        <v>323111</v>
      </c>
      <c r="T90" s="60" t="s">
        <v>56</v>
      </c>
    </row>
    <row r="91" spans="1:20" ht="15.75" thickBot="1" x14ac:dyDescent="0.3">
      <c r="A91" s="45">
        <v>87</v>
      </c>
      <c r="B91" s="84" t="s">
        <v>294</v>
      </c>
      <c r="C91" s="89" t="s">
        <v>295</v>
      </c>
      <c r="D91" s="76" t="s">
        <v>296</v>
      </c>
      <c r="E91" s="74">
        <v>1170</v>
      </c>
      <c r="F91" s="52">
        <v>1170</v>
      </c>
      <c r="G91" s="50">
        <f t="shared" si="13"/>
        <v>87.75</v>
      </c>
      <c r="H91" s="50">
        <f t="shared" si="14"/>
        <v>166.72499999999999</v>
      </c>
      <c r="I91" s="51">
        <f t="shared" si="15"/>
        <v>21.166666666666668</v>
      </c>
      <c r="J91" s="52"/>
      <c r="K91" s="52"/>
      <c r="L91" s="53"/>
      <c r="M91" s="54">
        <f t="shared" si="11"/>
        <v>1061.0833333333333</v>
      </c>
      <c r="N91" s="55">
        <f t="shared" si="12"/>
        <v>1336.7249999999999</v>
      </c>
      <c r="O91" s="33" t="s">
        <v>54</v>
      </c>
      <c r="P91" s="84" t="s">
        <v>294</v>
      </c>
      <c r="Q91" s="89" t="s">
        <v>295</v>
      </c>
      <c r="R91" s="85"/>
      <c r="S91" s="90">
        <v>326111</v>
      </c>
      <c r="T91" s="91" t="s">
        <v>56</v>
      </c>
    </row>
    <row r="92" spans="1:20" ht="15" x14ac:dyDescent="0.25">
      <c r="A92" s="63">
        <v>88</v>
      </c>
      <c r="B92" s="84" t="s">
        <v>297</v>
      </c>
      <c r="C92" s="89" t="s">
        <v>298</v>
      </c>
      <c r="D92" s="76" t="s">
        <v>299</v>
      </c>
      <c r="E92" s="74">
        <v>2770</v>
      </c>
      <c r="F92" s="52">
        <v>2770</v>
      </c>
      <c r="G92" s="50">
        <f t="shared" si="13"/>
        <v>207.75</v>
      </c>
      <c r="H92" s="50">
        <f t="shared" si="14"/>
        <v>394.72499999999997</v>
      </c>
      <c r="I92" s="51">
        <f t="shared" si="15"/>
        <v>129</v>
      </c>
      <c r="J92" s="52"/>
      <c r="K92" s="52"/>
      <c r="L92" s="53"/>
      <c r="M92" s="54">
        <f t="shared" si="11"/>
        <v>2433.25</v>
      </c>
      <c r="N92" s="55">
        <f t="shared" si="12"/>
        <v>3164.7249999999999</v>
      </c>
      <c r="O92" s="33" t="s">
        <v>69</v>
      </c>
      <c r="P92" s="84" t="s">
        <v>297</v>
      </c>
      <c r="Q92" s="89" t="s">
        <v>298</v>
      </c>
      <c r="R92" s="85"/>
      <c r="S92" s="90">
        <v>329111</v>
      </c>
      <c r="T92" s="91" t="s">
        <v>56</v>
      </c>
    </row>
    <row r="93" spans="1:20" x14ac:dyDescent="0.2">
      <c r="A93" s="45">
        <v>89</v>
      </c>
      <c r="B93" s="84" t="s">
        <v>300</v>
      </c>
      <c r="C93" s="92" t="s">
        <v>301</v>
      </c>
      <c r="D93" s="76" t="s">
        <v>302</v>
      </c>
      <c r="E93" s="74">
        <v>1420</v>
      </c>
      <c r="F93" s="52">
        <v>1420</v>
      </c>
      <c r="G93" s="50">
        <f t="shared" si="13"/>
        <v>106.5</v>
      </c>
      <c r="H93" s="50">
        <f t="shared" si="14"/>
        <v>202.35</v>
      </c>
      <c r="I93" s="51">
        <f t="shared" si="15"/>
        <v>46.166666666666664</v>
      </c>
      <c r="J93" s="52"/>
      <c r="K93" s="52"/>
      <c r="L93" s="53"/>
      <c r="M93" s="54">
        <f t="shared" si="11"/>
        <v>1267.3333333333333</v>
      </c>
      <c r="N93" s="55">
        <f t="shared" si="12"/>
        <v>1622.35</v>
      </c>
      <c r="O93" s="33" t="s">
        <v>54</v>
      </c>
      <c r="P93" s="84" t="s">
        <v>300</v>
      </c>
      <c r="Q93" s="92" t="s">
        <v>301</v>
      </c>
      <c r="R93" s="85"/>
      <c r="S93" s="90">
        <v>325311</v>
      </c>
      <c r="T93" s="91" t="s">
        <v>56</v>
      </c>
    </row>
    <row r="94" spans="1:20" x14ac:dyDescent="0.2">
      <c r="A94" s="45">
        <v>90</v>
      </c>
      <c r="B94" s="84" t="s">
        <v>303</v>
      </c>
      <c r="C94" s="92" t="s">
        <v>304</v>
      </c>
      <c r="D94" s="76" t="s">
        <v>302</v>
      </c>
      <c r="E94" s="74">
        <v>1490</v>
      </c>
      <c r="F94" s="52">
        <v>1490</v>
      </c>
      <c r="G94" s="50">
        <f t="shared" si="13"/>
        <v>111.75</v>
      </c>
      <c r="H94" s="50">
        <f t="shared" si="14"/>
        <v>212.32499999999999</v>
      </c>
      <c r="I94" s="51">
        <f t="shared" si="15"/>
        <v>53.166666666666664</v>
      </c>
      <c r="J94" s="52"/>
      <c r="K94" s="52"/>
      <c r="L94" s="53"/>
      <c r="M94" s="54">
        <f t="shared" si="11"/>
        <v>1325.0833333333333</v>
      </c>
      <c r="N94" s="55">
        <f t="shared" si="12"/>
        <v>1702.325</v>
      </c>
      <c r="O94" s="33" t="s">
        <v>54</v>
      </c>
      <c r="P94" s="84" t="s">
        <v>303</v>
      </c>
      <c r="Q94" s="92" t="s">
        <v>304</v>
      </c>
      <c r="R94" s="85"/>
      <c r="S94" s="86">
        <v>325311</v>
      </c>
      <c r="T94" s="93" t="s">
        <v>56</v>
      </c>
    </row>
    <row r="95" spans="1:20" x14ac:dyDescent="0.2">
      <c r="A95" s="45">
        <v>91</v>
      </c>
      <c r="B95" s="84" t="s">
        <v>305</v>
      </c>
      <c r="C95" s="92" t="s">
        <v>306</v>
      </c>
      <c r="D95" s="76" t="s">
        <v>307</v>
      </c>
      <c r="E95" s="74">
        <v>1008</v>
      </c>
      <c r="F95" s="52">
        <v>1008</v>
      </c>
      <c r="G95" s="50">
        <f t="shared" si="13"/>
        <v>75.599999999999994</v>
      </c>
      <c r="H95" s="50">
        <f t="shared" si="14"/>
        <v>143.63999999999999</v>
      </c>
      <c r="I95" s="51">
        <f t="shared" si="15"/>
        <v>12.9</v>
      </c>
      <c r="J95" s="52"/>
      <c r="K95" s="52"/>
      <c r="L95" s="53"/>
      <c r="M95" s="54">
        <f t="shared" si="11"/>
        <v>919.5</v>
      </c>
      <c r="N95" s="55">
        <f t="shared" si="12"/>
        <v>1151.6399999999999</v>
      </c>
      <c r="O95" s="33" t="s">
        <v>54</v>
      </c>
      <c r="P95" s="84" t="s">
        <v>305</v>
      </c>
      <c r="Q95" s="92" t="s">
        <v>306</v>
      </c>
      <c r="R95" s="85"/>
      <c r="S95" s="86">
        <v>322111</v>
      </c>
      <c r="T95" s="93" t="s">
        <v>56</v>
      </c>
    </row>
    <row r="96" spans="1:20" x14ac:dyDescent="0.2">
      <c r="A96" s="45">
        <v>92</v>
      </c>
      <c r="B96" s="84" t="s">
        <v>308</v>
      </c>
      <c r="C96" s="92" t="s">
        <v>309</v>
      </c>
      <c r="D96" s="76" t="s">
        <v>310</v>
      </c>
      <c r="E96" s="74">
        <v>2130</v>
      </c>
      <c r="F96" s="52">
        <v>2130</v>
      </c>
      <c r="G96" s="50">
        <f t="shared" si="13"/>
        <v>159.75</v>
      </c>
      <c r="H96" s="50">
        <f t="shared" si="14"/>
        <v>303.52499999999998</v>
      </c>
      <c r="I96" s="51">
        <f t="shared" si="15"/>
        <v>151</v>
      </c>
      <c r="J96" s="52"/>
      <c r="K96" s="52"/>
      <c r="L96" s="53"/>
      <c r="M96" s="54">
        <f t="shared" si="11"/>
        <v>1819.25</v>
      </c>
      <c r="N96" s="55">
        <f t="shared" si="12"/>
        <v>2433.5250000000001</v>
      </c>
      <c r="O96" s="33" t="s">
        <v>54</v>
      </c>
      <c r="P96" s="84" t="s">
        <v>308</v>
      </c>
      <c r="Q96" s="92" t="s">
        <v>309</v>
      </c>
      <c r="R96" s="85"/>
      <c r="S96" s="86">
        <v>325311</v>
      </c>
      <c r="T96" s="87" t="s">
        <v>56</v>
      </c>
    </row>
    <row r="97" spans="1:20" x14ac:dyDescent="0.2">
      <c r="A97" s="45">
        <v>93</v>
      </c>
      <c r="B97" s="84" t="s">
        <v>311</v>
      </c>
      <c r="C97" s="92" t="s">
        <v>312</v>
      </c>
      <c r="D97" s="76" t="s">
        <v>313</v>
      </c>
      <c r="E97" s="74">
        <v>1880</v>
      </c>
      <c r="F97" s="74">
        <v>1880</v>
      </c>
      <c r="G97" s="50">
        <f t="shared" si="13"/>
        <v>141</v>
      </c>
      <c r="H97" s="50">
        <f t="shared" si="14"/>
        <v>267.89999999999998</v>
      </c>
      <c r="I97" s="51">
        <f t="shared" si="15"/>
        <v>107</v>
      </c>
      <c r="J97" s="52"/>
      <c r="K97" s="52"/>
      <c r="L97" s="53"/>
      <c r="M97" s="54">
        <f t="shared" si="11"/>
        <v>1632</v>
      </c>
      <c r="N97" s="55">
        <f t="shared" si="12"/>
        <v>2147.9</v>
      </c>
      <c r="O97" s="33" t="s">
        <v>54</v>
      </c>
      <c r="P97" s="84" t="s">
        <v>311</v>
      </c>
      <c r="Q97" s="92" t="s">
        <v>312</v>
      </c>
      <c r="R97" s="85"/>
      <c r="S97" s="62">
        <v>329111</v>
      </c>
      <c r="T97" s="94" t="s">
        <v>56</v>
      </c>
    </row>
    <row r="98" spans="1:20" ht="15" thickBot="1" x14ac:dyDescent="0.25">
      <c r="A98" s="45">
        <v>94</v>
      </c>
      <c r="B98" s="84" t="s">
        <v>314</v>
      </c>
      <c r="C98" s="92" t="s">
        <v>315</v>
      </c>
      <c r="D98" s="76" t="s">
        <v>316</v>
      </c>
      <c r="E98" s="74">
        <v>355</v>
      </c>
      <c r="F98" s="52">
        <f t="shared" ref="F98:F103" si="16">E98/31*31</f>
        <v>355</v>
      </c>
      <c r="G98" s="50">
        <f>320*0.075</f>
        <v>24</v>
      </c>
      <c r="H98" s="50">
        <f>320*0.1425</f>
        <v>45.599999999999994</v>
      </c>
      <c r="I98" s="51">
        <f t="shared" si="15"/>
        <v>0</v>
      </c>
      <c r="J98" s="52"/>
      <c r="K98" s="52"/>
      <c r="L98" s="53"/>
      <c r="M98" s="54">
        <f t="shared" si="11"/>
        <v>331</v>
      </c>
      <c r="N98" s="55">
        <f t="shared" si="12"/>
        <v>400.6</v>
      </c>
      <c r="O98" s="33" t="s">
        <v>54</v>
      </c>
      <c r="P98" s="84" t="s">
        <v>314</v>
      </c>
      <c r="Q98" s="92" t="s">
        <v>315</v>
      </c>
      <c r="R98" s="85"/>
      <c r="S98" s="86">
        <v>318531</v>
      </c>
      <c r="T98" s="87" t="s">
        <v>317</v>
      </c>
    </row>
    <row r="99" spans="1:20" x14ac:dyDescent="0.2">
      <c r="A99" s="63">
        <v>95</v>
      </c>
      <c r="B99" s="84" t="s">
        <v>318</v>
      </c>
      <c r="C99" s="92" t="s">
        <v>319</v>
      </c>
      <c r="D99" s="76" t="s">
        <v>320</v>
      </c>
      <c r="E99" s="74">
        <v>8300</v>
      </c>
      <c r="F99" s="52">
        <f t="shared" si="16"/>
        <v>8300</v>
      </c>
      <c r="G99" s="50">
        <f>5000*0.075</f>
        <v>375</v>
      </c>
      <c r="H99" s="50">
        <f>5000*0.1425</f>
        <v>712.49999999999989</v>
      </c>
      <c r="I99" s="51">
        <f t="shared" si="15"/>
        <v>1679.1666666666667</v>
      </c>
      <c r="J99" s="52"/>
      <c r="K99" s="52"/>
      <c r="L99" s="53"/>
      <c r="M99" s="54">
        <f t="shared" si="11"/>
        <v>6245.833333333333</v>
      </c>
      <c r="N99" s="55">
        <f t="shared" si="12"/>
        <v>9012.5</v>
      </c>
      <c r="O99" s="33" t="s">
        <v>54</v>
      </c>
      <c r="P99" s="84" t="s">
        <v>318</v>
      </c>
      <c r="Q99" s="92" t="s">
        <v>319</v>
      </c>
      <c r="R99" s="85"/>
      <c r="S99" s="86">
        <v>131111</v>
      </c>
      <c r="T99" s="87"/>
    </row>
    <row r="100" spans="1:20" x14ac:dyDescent="0.2">
      <c r="A100" s="45">
        <v>96</v>
      </c>
      <c r="B100" s="84" t="s">
        <v>321</v>
      </c>
      <c r="C100" s="92" t="s">
        <v>322</v>
      </c>
      <c r="D100" s="76" t="s">
        <v>323</v>
      </c>
      <c r="E100" s="74">
        <v>2550</v>
      </c>
      <c r="F100" s="52">
        <f t="shared" si="16"/>
        <v>2550</v>
      </c>
      <c r="G100" s="50">
        <f t="shared" ref="G100:G120" si="17">E100*0.075</f>
        <v>191.25</v>
      </c>
      <c r="H100" s="50">
        <f t="shared" ref="H100:H120" si="18">E100*0.1425</f>
        <v>363.37499999999994</v>
      </c>
      <c r="I100" s="51">
        <f t="shared" si="15"/>
        <v>241.66666666666666</v>
      </c>
      <c r="J100" s="52"/>
      <c r="K100" s="52"/>
      <c r="L100" s="53"/>
      <c r="M100" s="54">
        <f t="shared" si="11"/>
        <v>2117.0833333333335</v>
      </c>
      <c r="N100" s="55">
        <f t="shared" si="12"/>
        <v>2913.375</v>
      </c>
      <c r="O100" s="33" t="s">
        <v>54</v>
      </c>
      <c r="P100" s="84" t="s">
        <v>321</v>
      </c>
      <c r="Q100" s="92" t="s">
        <v>322</v>
      </c>
      <c r="R100" s="85"/>
      <c r="S100" s="86">
        <v>318242</v>
      </c>
      <c r="T100" s="87" t="s">
        <v>324</v>
      </c>
    </row>
    <row r="101" spans="1:20" x14ac:dyDescent="0.2">
      <c r="A101" s="45">
        <v>97</v>
      </c>
      <c r="B101" s="84" t="s">
        <v>325</v>
      </c>
      <c r="C101" s="92" t="s">
        <v>326</v>
      </c>
      <c r="D101" s="76" t="s">
        <v>327</v>
      </c>
      <c r="E101" s="74">
        <v>1350</v>
      </c>
      <c r="F101" s="52">
        <f t="shared" si="16"/>
        <v>1350</v>
      </c>
      <c r="G101" s="50">
        <f t="shared" si="17"/>
        <v>101.25</v>
      </c>
      <c r="H101" s="50">
        <f t="shared" si="18"/>
        <v>192.37499999999997</v>
      </c>
      <c r="I101" s="51">
        <f t="shared" si="15"/>
        <v>39.166666666666664</v>
      </c>
      <c r="J101" s="52"/>
      <c r="K101" s="52"/>
      <c r="L101" s="53"/>
      <c r="M101" s="54">
        <f t="shared" ref="M101:M121" si="19">(F101+K101)-SUM(G101,I101,J101,L101)</f>
        <v>1209.5833333333333</v>
      </c>
      <c r="N101" s="55">
        <f t="shared" ref="N101:N121" si="20">F101+H101</f>
        <v>1542.375</v>
      </c>
      <c r="O101" s="33" t="s">
        <v>54</v>
      </c>
      <c r="P101" s="84" t="s">
        <v>325</v>
      </c>
      <c r="Q101" s="92" t="s">
        <v>326</v>
      </c>
      <c r="R101" s="85"/>
      <c r="S101" s="86">
        <v>323111</v>
      </c>
      <c r="T101" s="87" t="s">
        <v>240</v>
      </c>
    </row>
    <row r="102" spans="1:20" x14ac:dyDescent="0.2">
      <c r="A102" s="45">
        <v>98</v>
      </c>
      <c r="B102" s="84" t="s">
        <v>328</v>
      </c>
      <c r="C102" s="92" t="s">
        <v>329</v>
      </c>
      <c r="D102" s="76" t="s">
        <v>327</v>
      </c>
      <c r="E102" s="74">
        <v>1350</v>
      </c>
      <c r="F102" s="52">
        <f t="shared" si="16"/>
        <v>1350</v>
      </c>
      <c r="G102" s="50">
        <f t="shared" si="17"/>
        <v>101.25</v>
      </c>
      <c r="H102" s="50">
        <f t="shared" si="18"/>
        <v>192.37499999999997</v>
      </c>
      <c r="I102" s="51">
        <f t="shared" si="15"/>
        <v>39.166666666666664</v>
      </c>
      <c r="J102" s="52"/>
      <c r="K102" s="52"/>
      <c r="L102" s="53"/>
      <c r="M102" s="54">
        <f t="shared" si="19"/>
        <v>1209.5833333333333</v>
      </c>
      <c r="N102" s="55">
        <f t="shared" si="20"/>
        <v>1542.375</v>
      </c>
      <c r="O102" s="33" t="s">
        <v>54</v>
      </c>
      <c r="P102" s="84" t="s">
        <v>328</v>
      </c>
      <c r="Q102" s="92" t="s">
        <v>329</v>
      </c>
      <c r="R102" s="85"/>
      <c r="S102" s="86">
        <v>327111</v>
      </c>
      <c r="T102" s="87" t="s">
        <v>330</v>
      </c>
    </row>
    <row r="103" spans="1:20" x14ac:dyDescent="0.2">
      <c r="A103" s="45">
        <v>99</v>
      </c>
      <c r="B103" s="84" t="s">
        <v>331</v>
      </c>
      <c r="C103" s="92" t="s">
        <v>332</v>
      </c>
      <c r="D103" s="76" t="s">
        <v>333</v>
      </c>
      <c r="E103" s="74">
        <v>320</v>
      </c>
      <c r="F103" s="52">
        <f t="shared" si="16"/>
        <v>320</v>
      </c>
      <c r="G103" s="50">
        <f t="shared" si="17"/>
        <v>24</v>
      </c>
      <c r="H103" s="50">
        <f t="shared" si="18"/>
        <v>45.599999999999994</v>
      </c>
      <c r="I103" s="51">
        <f t="shared" si="15"/>
        <v>0</v>
      </c>
      <c r="J103" s="52"/>
      <c r="K103" s="52"/>
      <c r="L103" s="53"/>
      <c r="M103" s="54">
        <f t="shared" si="19"/>
        <v>296</v>
      </c>
      <c r="N103" s="55">
        <f t="shared" si="20"/>
        <v>365.6</v>
      </c>
      <c r="O103" s="33" t="s">
        <v>54</v>
      </c>
      <c r="P103" s="84" t="s">
        <v>331</v>
      </c>
      <c r="Q103" s="92" t="s">
        <v>334</v>
      </c>
      <c r="R103" s="85"/>
      <c r="S103" s="86">
        <v>323111</v>
      </c>
      <c r="T103" s="87" t="s">
        <v>56</v>
      </c>
    </row>
    <row r="104" spans="1:20" x14ac:dyDescent="0.2">
      <c r="A104" s="45">
        <v>100</v>
      </c>
      <c r="B104" s="84" t="s">
        <v>335</v>
      </c>
      <c r="C104" s="92" t="s">
        <v>336</v>
      </c>
      <c r="D104" s="76" t="s">
        <v>337</v>
      </c>
      <c r="E104" s="74">
        <v>1700</v>
      </c>
      <c r="F104" s="52">
        <f>E104/30*30</f>
        <v>1700</v>
      </c>
      <c r="G104" s="50">
        <f t="shared" si="17"/>
        <v>127.5</v>
      </c>
      <c r="H104" s="50">
        <f t="shared" si="18"/>
        <v>242.24999999999997</v>
      </c>
      <c r="I104" s="51">
        <f t="shared" si="15"/>
        <v>80</v>
      </c>
      <c r="J104" s="52"/>
      <c r="K104" s="52"/>
      <c r="L104" s="53"/>
      <c r="M104" s="54">
        <f t="shared" si="19"/>
        <v>1492.5</v>
      </c>
      <c r="N104" s="55">
        <f t="shared" si="20"/>
        <v>1942.25</v>
      </c>
      <c r="O104" s="33" t="s">
        <v>54</v>
      </c>
      <c r="P104" s="84" t="s">
        <v>335</v>
      </c>
      <c r="Q104" s="92" t="s">
        <v>338</v>
      </c>
      <c r="S104" s="86" t="s">
        <v>339</v>
      </c>
      <c r="T104" s="87" t="s">
        <v>177</v>
      </c>
    </row>
    <row r="105" spans="1:20" ht="15" thickBot="1" x14ac:dyDescent="0.25">
      <c r="A105" s="45">
        <v>101</v>
      </c>
      <c r="B105" s="84" t="s">
        <v>340</v>
      </c>
      <c r="C105" s="92" t="s">
        <v>341</v>
      </c>
      <c r="D105" s="76" t="s">
        <v>327</v>
      </c>
      <c r="E105" s="74">
        <v>1350</v>
      </c>
      <c r="F105" s="52">
        <f>E105/30*30</f>
        <v>1350</v>
      </c>
      <c r="G105" s="50">
        <f t="shared" si="17"/>
        <v>101.25</v>
      </c>
      <c r="H105" s="50">
        <f t="shared" si="18"/>
        <v>192.37499999999997</v>
      </c>
      <c r="I105" s="51">
        <f t="shared" si="15"/>
        <v>39.166666666666664</v>
      </c>
      <c r="J105" s="52"/>
      <c r="K105" s="52"/>
      <c r="L105" s="53"/>
      <c r="M105" s="54">
        <f t="shared" si="19"/>
        <v>1209.5833333333333</v>
      </c>
      <c r="N105" s="55">
        <f t="shared" si="20"/>
        <v>1542.375</v>
      </c>
      <c r="O105" s="33" t="s">
        <v>54</v>
      </c>
      <c r="P105" s="84" t="s">
        <v>340</v>
      </c>
      <c r="Q105" s="92" t="s">
        <v>342</v>
      </c>
      <c r="S105" s="86">
        <v>327111</v>
      </c>
      <c r="T105" s="87" t="s">
        <v>56</v>
      </c>
    </row>
    <row r="106" spans="1:20" x14ac:dyDescent="0.2">
      <c r="A106" s="63">
        <v>102</v>
      </c>
      <c r="B106" s="84" t="s">
        <v>343</v>
      </c>
      <c r="C106" s="92" t="s">
        <v>344</v>
      </c>
      <c r="D106" s="76" t="s">
        <v>94</v>
      </c>
      <c r="E106" s="74">
        <v>2700</v>
      </c>
      <c r="F106" s="52">
        <f>E106/30*30</f>
        <v>2700</v>
      </c>
      <c r="G106" s="50">
        <f t="shared" si="17"/>
        <v>202.5</v>
      </c>
      <c r="H106" s="50">
        <f t="shared" si="18"/>
        <v>384.74999999999994</v>
      </c>
      <c r="I106" s="51">
        <f t="shared" si="15"/>
        <v>117.5</v>
      </c>
      <c r="J106" s="52"/>
      <c r="K106" s="52"/>
      <c r="L106" s="53"/>
      <c r="M106" s="54">
        <f t="shared" si="19"/>
        <v>2380</v>
      </c>
      <c r="N106" s="55">
        <f t="shared" si="20"/>
        <v>3084.75</v>
      </c>
      <c r="O106" s="33" t="s">
        <v>345</v>
      </c>
      <c r="P106" s="84" t="s">
        <v>343</v>
      </c>
      <c r="Q106" s="92" t="s">
        <v>346</v>
      </c>
      <c r="S106" s="86">
        <v>329111</v>
      </c>
      <c r="T106" s="87" t="s">
        <v>56</v>
      </c>
    </row>
    <row r="107" spans="1:20" x14ac:dyDescent="0.2">
      <c r="A107" s="45">
        <v>103</v>
      </c>
      <c r="B107" s="84" t="s">
        <v>347</v>
      </c>
      <c r="C107" s="92" t="s">
        <v>348</v>
      </c>
      <c r="D107" s="76" t="s">
        <v>307</v>
      </c>
      <c r="E107" s="74">
        <v>2430</v>
      </c>
      <c r="F107" s="52">
        <f>E107/30*30</f>
        <v>2430</v>
      </c>
      <c r="G107" s="50">
        <f t="shared" si="17"/>
        <v>182.25</v>
      </c>
      <c r="H107" s="50">
        <f t="shared" si="18"/>
        <v>346.27499999999998</v>
      </c>
      <c r="I107" s="51">
        <f t="shared" si="15"/>
        <v>77</v>
      </c>
      <c r="J107" s="52"/>
      <c r="K107" s="52"/>
      <c r="L107" s="53"/>
      <c r="M107" s="54">
        <f t="shared" si="19"/>
        <v>2170.75</v>
      </c>
      <c r="N107" s="55">
        <f t="shared" si="20"/>
        <v>2776.2750000000001</v>
      </c>
      <c r="O107" s="33" t="s">
        <v>345</v>
      </c>
      <c r="P107" s="84" t="s">
        <v>347</v>
      </c>
      <c r="Q107" s="92" t="s">
        <v>349</v>
      </c>
      <c r="S107" s="86">
        <v>327111</v>
      </c>
      <c r="T107" s="87" t="s">
        <v>56</v>
      </c>
    </row>
    <row r="108" spans="1:20" x14ac:dyDescent="0.2">
      <c r="A108" s="45">
        <v>104</v>
      </c>
      <c r="B108" s="84" t="s">
        <v>350</v>
      </c>
      <c r="C108" s="92" t="s">
        <v>351</v>
      </c>
      <c r="D108" s="76" t="s">
        <v>352</v>
      </c>
      <c r="E108" s="74">
        <v>800</v>
      </c>
      <c r="F108" s="52">
        <f t="shared" ref="F108:F113" si="21">E108/31*31</f>
        <v>800</v>
      </c>
      <c r="G108" s="50">
        <f t="shared" si="17"/>
        <v>60</v>
      </c>
      <c r="H108" s="50">
        <f t="shared" si="18"/>
        <v>113.99999999999999</v>
      </c>
      <c r="I108" s="51">
        <f t="shared" si="15"/>
        <v>2.5</v>
      </c>
      <c r="J108" s="52"/>
      <c r="K108" s="52"/>
      <c r="L108" s="53"/>
      <c r="M108" s="54">
        <f t="shared" si="19"/>
        <v>737.5</v>
      </c>
      <c r="N108" s="55">
        <f t="shared" si="20"/>
        <v>914</v>
      </c>
      <c r="O108" s="33" t="s">
        <v>353</v>
      </c>
      <c r="P108" s="84" t="s">
        <v>350</v>
      </c>
      <c r="Q108" s="92" t="s">
        <v>351</v>
      </c>
      <c r="S108" s="95" t="s">
        <v>354</v>
      </c>
      <c r="T108" s="87" t="s">
        <v>355</v>
      </c>
    </row>
    <row r="109" spans="1:20" x14ac:dyDescent="0.2">
      <c r="A109" s="45">
        <v>105</v>
      </c>
      <c r="B109" s="84" t="s">
        <v>356</v>
      </c>
      <c r="C109" s="92" t="s">
        <v>357</v>
      </c>
      <c r="D109" s="76" t="s">
        <v>250</v>
      </c>
      <c r="E109" s="74">
        <v>1135</v>
      </c>
      <c r="F109" s="52">
        <f t="shared" si="21"/>
        <v>1135</v>
      </c>
      <c r="G109" s="50">
        <f t="shared" si="17"/>
        <v>85.125</v>
      </c>
      <c r="H109" s="50">
        <f t="shared" si="18"/>
        <v>161.73749999999998</v>
      </c>
      <c r="I109" s="51">
        <f t="shared" si="15"/>
        <v>19.25</v>
      </c>
      <c r="J109" s="52"/>
      <c r="K109" s="52"/>
      <c r="L109" s="53"/>
      <c r="M109" s="54">
        <f t="shared" si="19"/>
        <v>1030.625</v>
      </c>
      <c r="N109" s="55">
        <f t="shared" si="20"/>
        <v>1296.7375</v>
      </c>
      <c r="O109" s="33" t="s">
        <v>353</v>
      </c>
      <c r="P109" s="84" t="s">
        <v>356</v>
      </c>
      <c r="Q109" s="92" t="s">
        <v>357</v>
      </c>
      <c r="S109" s="95" t="s">
        <v>358</v>
      </c>
      <c r="T109" s="87" t="s">
        <v>56</v>
      </c>
    </row>
    <row r="110" spans="1:20" x14ac:dyDescent="0.2">
      <c r="A110" s="45">
        <v>106</v>
      </c>
      <c r="B110" s="84" t="s">
        <v>359</v>
      </c>
      <c r="C110" s="92" t="s">
        <v>360</v>
      </c>
      <c r="D110" s="76" t="s">
        <v>307</v>
      </c>
      <c r="E110" s="74">
        <v>640</v>
      </c>
      <c r="F110" s="52">
        <f t="shared" si="21"/>
        <v>640</v>
      </c>
      <c r="G110" s="50">
        <f t="shared" si="17"/>
        <v>48</v>
      </c>
      <c r="H110" s="50">
        <f t="shared" si="18"/>
        <v>91.199999999999989</v>
      </c>
      <c r="I110" s="51">
        <f t="shared" si="15"/>
        <v>0</v>
      </c>
      <c r="J110" s="52"/>
      <c r="K110" s="52"/>
      <c r="L110" s="53"/>
      <c r="M110" s="54">
        <f t="shared" si="19"/>
        <v>592</v>
      </c>
      <c r="N110" s="55">
        <f t="shared" si="20"/>
        <v>731.2</v>
      </c>
      <c r="O110" s="33" t="s">
        <v>353</v>
      </c>
      <c r="P110" s="84" t="s">
        <v>359</v>
      </c>
      <c r="Q110" s="92" t="s">
        <v>360</v>
      </c>
      <c r="S110" s="86">
        <v>327111</v>
      </c>
      <c r="T110" s="87" t="s">
        <v>56</v>
      </c>
    </row>
    <row r="111" spans="1:20" x14ac:dyDescent="0.2">
      <c r="A111" s="45">
        <v>107</v>
      </c>
      <c r="B111" s="84" t="s">
        <v>361</v>
      </c>
      <c r="C111" s="92" t="s">
        <v>362</v>
      </c>
      <c r="D111" s="76" t="s">
        <v>363</v>
      </c>
      <c r="E111" s="74">
        <v>850</v>
      </c>
      <c r="F111" s="52">
        <f t="shared" si="21"/>
        <v>850</v>
      </c>
      <c r="G111" s="50">
        <f t="shared" si="17"/>
        <v>63.75</v>
      </c>
      <c r="H111" s="50">
        <f t="shared" si="18"/>
        <v>121.12499999999999</v>
      </c>
      <c r="I111" s="51">
        <f t="shared" si="15"/>
        <v>5</v>
      </c>
      <c r="J111" s="52"/>
      <c r="K111" s="52"/>
      <c r="L111" s="53"/>
      <c r="M111" s="54">
        <f t="shared" si="19"/>
        <v>781.25</v>
      </c>
      <c r="N111" s="55">
        <f t="shared" si="20"/>
        <v>971.125</v>
      </c>
      <c r="O111" s="33" t="s">
        <v>353</v>
      </c>
      <c r="P111" s="84" t="s">
        <v>361</v>
      </c>
      <c r="Q111" s="92" t="s">
        <v>362</v>
      </c>
      <c r="S111" s="96">
        <v>1.1E+112</v>
      </c>
      <c r="T111" s="87" t="s">
        <v>177</v>
      </c>
    </row>
    <row r="112" spans="1:20" ht="15" thickBot="1" x14ac:dyDescent="0.25">
      <c r="A112" s="45">
        <v>108</v>
      </c>
      <c r="B112" s="84" t="s">
        <v>364</v>
      </c>
      <c r="C112" s="92" t="s">
        <v>365</v>
      </c>
      <c r="D112" s="76" t="s">
        <v>366</v>
      </c>
      <c r="E112" s="74">
        <v>1170</v>
      </c>
      <c r="F112" s="52">
        <f t="shared" si="21"/>
        <v>1170</v>
      </c>
      <c r="G112" s="50">
        <f t="shared" si="17"/>
        <v>87.75</v>
      </c>
      <c r="H112" s="50">
        <f t="shared" si="18"/>
        <v>166.72499999999999</v>
      </c>
      <c r="I112" s="51">
        <f t="shared" si="15"/>
        <v>21.166666666666668</v>
      </c>
      <c r="J112" s="52"/>
      <c r="K112" s="52"/>
      <c r="L112" s="53"/>
      <c r="M112" s="54">
        <f t="shared" si="19"/>
        <v>1061.0833333333333</v>
      </c>
      <c r="N112" s="55">
        <f t="shared" si="20"/>
        <v>1336.7249999999999</v>
      </c>
      <c r="O112" s="33" t="s">
        <v>353</v>
      </c>
      <c r="P112" s="84" t="s">
        <v>364</v>
      </c>
      <c r="Q112" s="92" t="s">
        <v>365</v>
      </c>
      <c r="S112" s="96">
        <v>1.1E+112</v>
      </c>
      <c r="T112" s="87" t="s">
        <v>177</v>
      </c>
    </row>
    <row r="113" spans="1:20" x14ac:dyDescent="0.2">
      <c r="A113" s="63">
        <v>109</v>
      </c>
      <c r="B113" s="84" t="s">
        <v>367</v>
      </c>
      <c r="C113" s="92" t="s">
        <v>368</v>
      </c>
      <c r="D113" s="76" t="s">
        <v>253</v>
      </c>
      <c r="E113" s="97">
        <v>1915</v>
      </c>
      <c r="F113" s="52">
        <f t="shared" si="21"/>
        <v>1915</v>
      </c>
      <c r="G113" s="50">
        <f t="shared" si="17"/>
        <v>143.625</v>
      </c>
      <c r="H113" s="50">
        <f t="shared" si="18"/>
        <v>272.88749999999999</v>
      </c>
      <c r="I113" s="51">
        <f t="shared" si="15"/>
        <v>112.25</v>
      </c>
      <c r="J113" s="52"/>
      <c r="K113" s="52"/>
      <c r="L113" s="53"/>
      <c r="M113" s="54">
        <f t="shared" si="19"/>
        <v>1659.125</v>
      </c>
      <c r="N113" s="55">
        <f t="shared" si="20"/>
        <v>2187.8874999999998</v>
      </c>
      <c r="O113" s="33" t="s">
        <v>353</v>
      </c>
      <c r="P113" s="84" t="s">
        <v>367</v>
      </c>
      <c r="Q113" s="92" t="s">
        <v>368</v>
      </c>
      <c r="S113" s="98">
        <v>329111</v>
      </c>
      <c r="T113" s="99" t="s">
        <v>56</v>
      </c>
    </row>
    <row r="114" spans="1:20" x14ac:dyDescent="0.2">
      <c r="A114" s="45">
        <v>110</v>
      </c>
      <c r="B114" s="84" t="s">
        <v>369</v>
      </c>
      <c r="C114" s="92" t="s">
        <v>370</v>
      </c>
      <c r="D114" s="76" t="s">
        <v>371</v>
      </c>
      <c r="E114" s="74">
        <v>1525</v>
      </c>
      <c r="F114" s="52">
        <f>(E114/30*2)+1525</f>
        <v>1626.6666666666667</v>
      </c>
      <c r="G114" s="50">
        <f t="shared" si="17"/>
        <v>114.375</v>
      </c>
      <c r="H114" s="50">
        <f t="shared" si="18"/>
        <v>217.31249999999997</v>
      </c>
      <c r="I114" s="51">
        <f t="shared" si="15"/>
        <v>6.333333333333333</v>
      </c>
      <c r="J114" s="52"/>
      <c r="K114" s="52"/>
      <c r="L114" s="53"/>
      <c r="M114" s="54">
        <f t="shared" si="19"/>
        <v>1505.9583333333335</v>
      </c>
      <c r="N114" s="55">
        <f t="shared" si="20"/>
        <v>1843.9791666666667</v>
      </c>
      <c r="O114" s="33" t="s">
        <v>69</v>
      </c>
      <c r="P114" s="84" t="s">
        <v>369</v>
      </c>
      <c r="Q114" s="92" t="s">
        <v>370</v>
      </c>
      <c r="S114"/>
    </row>
    <row r="115" spans="1:20" x14ac:dyDescent="0.2">
      <c r="A115" s="45">
        <v>111</v>
      </c>
      <c r="B115" s="84" t="s">
        <v>372</v>
      </c>
      <c r="C115" s="92" t="s">
        <v>373</v>
      </c>
      <c r="D115" s="76" t="s">
        <v>374</v>
      </c>
      <c r="E115" s="74">
        <v>1400</v>
      </c>
      <c r="F115" s="52">
        <f>E115/31*31</f>
        <v>1400</v>
      </c>
      <c r="G115" s="50">
        <f t="shared" si="17"/>
        <v>105</v>
      </c>
      <c r="H115" s="50">
        <f t="shared" si="18"/>
        <v>199.49999999999997</v>
      </c>
      <c r="I115" s="51">
        <f t="shared" si="15"/>
        <v>0</v>
      </c>
      <c r="J115" s="52"/>
      <c r="K115" s="52"/>
      <c r="L115" s="53"/>
      <c r="M115" s="54">
        <f t="shared" si="19"/>
        <v>1295</v>
      </c>
      <c r="N115" s="55">
        <f t="shared" si="20"/>
        <v>1599.5</v>
      </c>
      <c r="O115" s="33" t="s">
        <v>69</v>
      </c>
      <c r="P115" s="84" t="s">
        <v>372</v>
      </c>
      <c r="Q115" s="92" t="s">
        <v>373</v>
      </c>
      <c r="S115"/>
    </row>
    <row r="116" spans="1:20" x14ac:dyDescent="0.2">
      <c r="A116" s="45">
        <v>112</v>
      </c>
      <c r="B116" s="84" t="s">
        <v>375</v>
      </c>
      <c r="C116" s="92" t="s">
        <v>376</v>
      </c>
      <c r="D116" s="76" t="s">
        <v>377</v>
      </c>
      <c r="E116" s="74">
        <v>1210</v>
      </c>
      <c r="F116" s="52">
        <f>E116/31*31</f>
        <v>1210</v>
      </c>
      <c r="G116" s="50">
        <f t="shared" si="17"/>
        <v>90.75</v>
      </c>
      <c r="H116" s="50">
        <f t="shared" si="18"/>
        <v>172.42499999999998</v>
      </c>
      <c r="I116" s="51">
        <f t="shared" si="15"/>
        <v>0</v>
      </c>
      <c r="J116" s="52"/>
      <c r="K116" s="52"/>
      <c r="L116" s="53"/>
      <c r="M116" s="54">
        <f t="shared" si="19"/>
        <v>1119.25</v>
      </c>
      <c r="N116" s="55">
        <f t="shared" si="20"/>
        <v>1382.425</v>
      </c>
      <c r="O116" s="33" t="s">
        <v>69</v>
      </c>
      <c r="P116" s="84" t="s">
        <v>375</v>
      </c>
      <c r="Q116" s="92" t="s">
        <v>376</v>
      </c>
      <c r="S116"/>
    </row>
    <row r="117" spans="1:20" x14ac:dyDescent="0.2">
      <c r="A117" s="45">
        <v>113</v>
      </c>
      <c r="B117" s="84" t="s">
        <v>378</v>
      </c>
      <c r="C117" s="92" t="s">
        <v>379</v>
      </c>
      <c r="D117" s="76" t="s">
        <v>380</v>
      </c>
      <c r="E117" s="74">
        <v>570</v>
      </c>
      <c r="F117" s="52">
        <f>E117/31*31</f>
        <v>570</v>
      </c>
      <c r="G117" s="50">
        <f t="shared" si="17"/>
        <v>42.75</v>
      </c>
      <c r="H117" s="50">
        <f t="shared" si="18"/>
        <v>81.224999999999994</v>
      </c>
      <c r="I117" s="51">
        <f t="shared" si="15"/>
        <v>0</v>
      </c>
      <c r="J117" s="52"/>
      <c r="K117" s="52"/>
      <c r="L117" s="53"/>
      <c r="M117" s="54">
        <f t="shared" si="19"/>
        <v>527.25</v>
      </c>
      <c r="N117" s="55">
        <f t="shared" si="20"/>
        <v>651.22500000000002</v>
      </c>
      <c r="O117" s="33" t="s">
        <v>353</v>
      </c>
      <c r="P117" s="84" t="s">
        <v>378</v>
      </c>
      <c r="Q117" s="92" t="s">
        <v>379</v>
      </c>
      <c r="S117"/>
    </row>
    <row r="118" spans="1:20" x14ac:dyDescent="0.2">
      <c r="A118" s="45">
        <v>114</v>
      </c>
      <c r="B118" s="84" t="s">
        <v>381</v>
      </c>
      <c r="C118" s="92" t="s">
        <v>382</v>
      </c>
      <c r="D118" s="76" t="s">
        <v>383</v>
      </c>
      <c r="E118" s="74">
        <v>320</v>
      </c>
      <c r="F118" s="52">
        <f>E118/31*26</f>
        <v>268.38709677419354</v>
      </c>
      <c r="G118" s="50">
        <f t="shared" si="17"/>
        <v>24</v>
      </c>
      <c r="H118" s="50">
        <f t="shared" si="18"/>
        <v>45.599999999999994</v>
      </c>
      <c r="I118" s="51">
        <f t="shared" si="15"/>
        <v>0</v>
      </c>
      <c r="J118" s="52"/>
      <c r="K118" s="52"/>
      <c r="L118" s="53"/>
      <c r="M118" s="54">
        <f t="shared" si="19"/>
        <v>244.38709677419354</v>
      </c>
      <c r="N118" s="55">
        <f t="shared" si="20"/>
        <v>313.98709677419356</v>
      </c>
      <c r="O118" s="33" t="s">
        <v>353</v>
      </c>
      <c r="P118" s="84" t="s">
        <v>381</v>
      </c>
      <c r="Q118" s="92" t="s">
        <v>382</v>
      </c>
      <c r="S118"/>
    </row>
    <row r="119" spans="1:20" ht="15" thickBot="1" x14ac:dyDescent="0.25">
      <c r="A119" s="45">
        <v>115</v>
      </c>
      <c r="B119" s="84" t="s">
        <v>384</v>
      </c>
      <c r="C119" s="92" t="s">
        <v>385</v>
      </c>
      <c r="D119" s="76" t="s">
        <v>386</v>
      </c>
      <c r="E119" s="74">
        <v>550</v>
      </c>
      <c r="F119" s="52">
        <f>550/30*24</f>
        <v>440</v>
      </c>
      <c r="G119" s="50">
        <f t="shared" si="17"/>
        <v>41.25</v>
      </c>
      <c r="H119" s="50">
        <f t="shared" si="18"/>
        <v>78.375</v>
      </c>
      <c r="I119" s="51">
        <f t="shared" si="15"/>
        <v>0</v>
      </c>
      <c r="J119" s="52"/>
      <c r="K119" s="52"/>
      <c r="L119" s="53"/>
      <c r="M119" s="54">
        <f t="shared" si="19"/>
        <v>398.75</v>
      </c>
      <c r="N119" s="55">
        <f t="shared" si="20"/>
        <v>518.375</v>
      </c>
      <c r="O119" s="33" t="s">
        <v>353</v>
      </c>
      <c r="P119" s="84" t="s">
        <v>384</v>
      </c>
      <c r="Q119" s="92" t="s">
        <v>385</v>
      </c>
      <c r="S119"/>
    </row>
    <row r="120" spans="1:20" x14ac:dyDescent="0.2">
      <c r="A120" s="63">
        <v>116</v>
      </c>
      <c r="B120" s="84" t="s">
        <v>387</v>
      </c>
      <c r="C120" s="92" t="s">
        <v>388</v>
      </c>
      <c r="D120" s="76" t="s">
        <v>389</v>
      </c>
      <c r="E120" s="74">
        <v>320</v>
      </c>
      <c r="F120" s="52">
        <f>E120/31*17</f>
        <v>175.48387096774192</v>
      </c>
      <c r="G120" s="50">
        <f t="shared" si="17"/>
        <v>24</v>
      </c>
      <c r="H120" s="50">
        <f t="shared" si="18"/>
        <v>45.599999999999994</v>
      </c>
      <c r="I120" s="51">
        <f t="shared" si="15"/>
        <v>0</v>
      </c>
      <c r="J120" s="52"/>
      <c r="K120" s="52"/>
      <c r="L120" s="53"/>
      <c r="M120" s="54">
        <f t="shared" si="19"/>
        <v>151.48387096774192</v>
      </c>
      <c r="N120" s="55">
        <f t="shared" si="20"/>
        <v>221.08387096774192</v>
      </c>
      <c r="O120" s="33" t="s">
        <v>353</v>
      </c>
      <c r="P120" s="84" t="s">
        <v>387</v>
      </c>
      <c r="Q120" s="92" t="s">
        <v>388</v>
      </c>
      <c r="S120"/>
    </row>
    <row r="121" spans="1:20" x14ac:dyDescent="0.2">
      <c r="A121" s="45">
        <v>117</v>
      </c>
      <c r="B121" s="84" t="s">
        <v>390</v>
      </c>
      <c r="C121" s="92" t="s">
        <v>391</v>
      </c>
      <c r="D121" s="76" t="s">
        <v>392</v>
      </c>
      <c r="E121" s="50">
        <v>780</v>
      </c>
      <c r="F121" s="52">
        <f>E121/31*12</f>
        <v>301.93548387096774</v>
      </c>
      <c r="G121" s="50">
        <v>0</v>
      </c>
      <c r="H121" s="50">
        <v>0</v>
      </c>
      <c r="I121" s="51">
        <f t="shared" si="15"/>
        <v>0</v>
      </c>
      <c r="J121" s="52"/>
      <c r="K121" s="52"/>
      <c r="L121" s="52"/>
      <c r="M121" s="100">
        <f t="shared" si="19"/>
        <v>301.93548387096774</v>
      </c>
      <c r="N121" s="55">
        <f t="shared" si="20"/>
        <v>301.93548387096774</v>
      </c>
      <c r="O121" s="33" t="s">
        <v>353</v>
      </c>
      <c r="P121" s="84" t="s">
        <v>390</v>
      </c>
      <c r="Q121" s="92" t="s">
        <v>391</v>
      </c>
      <c r="S121"/>
    </row>
    <row r="122" spans="1:20" ht="15.75" x14ac:dyDescent="0.25">
      <c r="B122" s="91"/>
      <c r="D122">
        <f>30-12</f>
        <v>18</v>
      </c>
      <c r="E122" s="101">
        <f t="shared" ref="E122:N122" si="22">SUM(E5:E121)</f>
        <v>167483</v>
      </c>
      <c r="F122" s="101">
        <f t="shared" si="22"/>
        <v>165725.63440860211</v>
      </c>
      <c r="G122" s="101">
        <f t="shared" si="22"/>
        <v>12216.974999999999</v>
      </c>
      <c r="H122" s="101">
        <f t="shared" si="22"/>
        <v>23212.252499999988</v>
      </c>
      <c r="I122" s="101">
        <f t="shared" si="22"/>
        <v>7307.8126666666694</v>
      </c>
      <c r="J122" s="101">
        <f t="shared" si="22"/>
        <v>0</v>
      </c>
      <c r="K122" s="101">
        <f t="shared" si="22"/>
        <v>0</v>
      </c>
      <c r="L122" s="101">
        <f t="shared" si="22"/>
        <v>0</v>
      </c>
      <c r="M122" s="101">
        <f t="shared" si="22"/>
        <v>146200.84674193538</v>
      </c>
      <c r="N122" s="101">
        <f t="shared" si="22"/>
        <v>188937.8869086022</v>
      </c>
      <c r="S122"/>
    </row>
    <row r="123" spans="1:20" x14ac:dyDescent="0.2">
      <c r="B123" s="91"/>
      <c r="L123" s="102"/>
    </row>
    <row r="124" spans="1:20" ht="15" x14ac:dyDescent="0.25">
      <c r="B124" s="91"/>
      <c r="H124" s="3"/>
      <c r="I124" s="3"/>
      <c r="M124" s="103"/>
      <c r="N124" s="104"/>
    </row>
    <row r="125" spans="1:20" ht="15.75" x14ac:dyDescent="0.25">
      <c r="B125" s="91"/>
      <c r="C125" s="105" t="s">
        <v>393</v>
      </c>
      <c r="D125" s="106">
        <f>F122-D127</f>
        <v>159175.63440860211</v>
      </c>
      <c r="E125" s="107" t="s">
        <v>394</v>
      </c>
      <c r="F125" s="108">
        <v>521101</v>
      </c>
      <c r="G125" t="s">
        <v>59</v>
      </c>
      <c r="H125" s="109">
        <v>0.7</v>
      </c>
      <c r="I125" s="3">
        <v>651101</v>
      </c>
      <c r="J125" t="s">
        <v>395</v>
      </c>
      <c r="M125" s="103"/>
    </row>
    <row r="126" spans="1:20" ht="15" x14ac:dyDescent="0.25">
      <c r="B126" s="91"/>
      <c r="D126" s="106">
        <f>H122-D128</f>
        <v>22278.877499999988</v>
      </c>
      <c r="E126" s="107" t="s">
        <v>396</v>
      </c>
      <c r="F126" s="108">
        <v>521107</v>
      </c>
      <c r="G126" t="s">
        <v>59</v>
      </c>
      <c r="H126" s="110" t="s">
        <v>397</v>
      </c>
      <c r="I126" s="110" t="s">
        <v>398</v>
      </c>
      <c r="O126" s="3">
        <v>51111101</v>
      </c>
      <c r="S126" s="111">
        <v>51111107</v>
      </c>
    </row>
    <row r="127" spans="1:20" x14ac:dyDescent="0.2">
      <c r="B127" s="91"/>
      <c r="D127" s="107">
        <f>F24+F45+F49+F53+F78</f>
        <v>6550</v>
      </c>
      <c r="E127" s="107" t="s">
        <v>399</v>
      </c>
      <c r="F127" s="108">
        <v>621101</v>
      </c>
      <c r="G127" t="s">
        <v>400</v>
      </c>
      <c r="H127" s="112">
        <v>651102</v>
      </c>
      <c r="I127" s="113" t="s">
        <v>401</v>
      </c>
      <c r="J127" s="33"/>
      <c r="K127" s="33"/>
      <c r="L127">
        <v>51111101</v>
      </c>
      <c r="M127" s="62">
        <v>111111</v>
      </c>
      <c r="N127" t="s">
        <v>402</v>
      </c>
      <c r="O127" s="114">
        <v>2300</v>
      </c>
      <c r="P127" s="102"/>
      <c r="Q127" s="102"/>
      <c r="R127" s="102"/>
      <c r="S127" s="115">
        <v>327.75</v>
      </c>
    </row>
    <row r="128" spans="1:20" x14ac:dyDescent="0.2">
      <c r="D128" s="116">
        <f>H24+H45+H49+H53+H78</f>
        <v>933.375</v>
      </c>
      <c r="E128" s="107" t="s">
        <v>403</v>
      </c>
      <c r="F128" s="108">
        <v>621107</v>
      </c>
      <c r="G128" t="s">
        <v>400</v>
      </c>
      <c r="H128" s="117"/>
      <c r="I128" s="118"/>
      <c r="J128" s="118"/>
      <c r="K128" s="118"/>
      <c r="L128">
        <v>51111101</v>
      </c>
      <c r="M128" s="62">
        <v>122111</v>
      </c>
      <c r="N128" t="s">
        <v>402</v>
      </c>
      <c r="O128" s="114">
        <v>2500</v>
      </c>
      <c r="P128" s="102"/>
      <c r="Q128" s="102"/>
      <c r="R128" s="102"/>
      <c r="S128" s="115">
        <v>356.24999999999994</v>
      </c>
    </row>
    <row r="129" spans="4:19" x14ac:dyDescent="0.2">
      <c r="D129" s="116"/>
      <c r="E129" s="107" t="s">
        <v>404</v>
      </c>
      <c r="F129" s="108"/>
      <c r="H129" s="110"/>
      <c r="I129" s="118"/>
      <c r="J129" s="118"/>
      <c r="K129" s="118"/>
      <c r="L129">
        <v>51111101</v>
      </c>
      <c r="M129" s="62">
        <v>131111</v>
      </c>
      <c r="N129" t="s">
        <v>402</v>
      </c>
      <c r="O129" s="114">
        <v>8216.67</v>
      </c>
      <c r="P129" s="102"/>
      <c r="Q129" s="102"/>
      <c r="R129" s="102"/>
      <c r="S129" s="115">
        <v>897.75</v>
      </c>
    </row>
    <row r="130" spans="4:19" x14ac:dyDescent="0.2">
      <c r="D130" s="119"/>
      <c r="E130" s="120" t="s">
        <v>405</v>
      </c>
      <c r="F130" s="108"/>
      <c r="G130" t="s">
        <v>59</v>
      </c>
      <c r="H130" s="118"/>
      <c r="I130" s="118"/>
      <c r="J130" s="118"/>
      <c r="L130">
        <v>51111101</v>
      </c>
      <c r="M130" s="62">
        <v>134311</v>
      </c>
      <c r="N130" t="s">
        <v>402</v>
      </c>
      <c r="O130" s="114">
        <v>450</v>
      </c>
      <c r="P130" s="102"/>
      <c r="Q130" s="102"/>
      <c r="R130" s="102"/>
      <c r="S130" s="115">
        <v>64.13</v>
      </c>
    </row>
    <row r="131" spans="4:19" x14ac:dyDescent="0.2">
      <c r="E131" s="121" t="s">
        <v>406</v>
      </c>
      <c r="G131" t="s">
        <v>59</v>
      </c>
      <c r="H131" s="118"/>
      <c r="I131" s="118"/>
      <c r="J131" s="118"/>
      <c r="L131">
        <v>51111101</v>
      </c>
      <c r="M131" s="62">
        <v>311311</v>
      </c>
      <c r="N131" t="s">
        <v>402</v>
      </c>
      <c r="O131" s="114">
        <v>815</v>
      </c>
      <c r="P131" s="102"/>
      <c r="Q131" s="102"/>
      <c r="R131" s="102"/>
      <c r="S131" s="115">
        <v>116.14</v>
      </c>
    </row>
    <row r="132" spans="4:19" x14ac:dyDescent="0.2">
      <c r="E132" s="121"/>
      <c r="G132" t="s">
        <v>59</v>
      </c>
      <c r="L132">
        <v>51111101</v>
      </c>
      <c r="M132" s="62">
        <v>323111</v>
      </c>
      <c r="N132" t="s">
        <v>402</v>
      </c>
      <c r="O132" s="114">
        <v>61006.33</v>
      </c>
      <c r="P132" s="102"/>
      <c r="Q132" s="102"/>
      <c r="R132" s="102"/>
      <c r="S132" s="115">
        <v>8753.6299999999992</v>
      </c>
    </row>
    <row r="133" spans="4:19" x14ac:dyDescent="0.2">
      <c r="D133" s="121"/>
      <c r="E133" s="121" t="s">
        <v>407</v>
      </c>
      <c r="F133">
        <v>522111</v>
      </c>
      <c r="G133" t="s">
        <v>59</v>
      </c>
      <c r="L133">
        <v>51111101</v>
      </c>
      <c r="M133" s="77">
        <v>122311</v>
      </c>
      <c r="N133" t="s">
        <v>402</v>
      </c>
      <c r="O133" s="114">
        <v>1350</v>
      </c>
      <c r="P133" s="102"/>
      <c r="Q133" s="102"/>
      <c r="R133" s="102"/>
      <c r="S133" s="115">
        <v>192.38</v>
      </c>
    </row>
    <row r="134" spans="4:19" x14ac:dyDescent="0.2">
      <c r="D134" s="104">
        <f>SUM(D124:D133)</f>
        <v>188937.88690860209</v>
      </c>
      <c r="L134">
        <v>51111101</v>
      </c>
      <c r="M134" s="62">
        <v>325311</v>
      </c>
      <c r="N134" t="s">
        <v>402</v>
      </c>
      <c r="O134" s="114">
        <v>18776</v>
      </c>
      <c r="P134" s="102"/>
      <c r="Q134" s="102"/>
      <c r="R134" s="102"/>
      <c r="S134" s="115">
        <v>2675.56</v>
      </c>
    </row>
    <row r="135" spans="4:19" x14ac:dyDescent="0.2">
      <c r="L135">
        <v>51111101</v>
      </c>
      <c r="M135" s="77">
        <v>326111</v>
      </c>
      <c r="N135" t="s">
        <v>402</v>
      </c>
      <c r="O135" s="114">
        <v>1490</v>
      </c>
      <c r="P135" s="102"/>
      <c r="Q135" s="102"/>
      <c r="R135" s="102"/>
      <c r="S135" s="115">
        <v>212.33</v>
      </c>
    </row>
    <row r="136" spans="4:19" x14ac:dyDescent="0.2">
      <c r="E136" s="106">
        <v>118164.74099999999</v>
      </c>
      <c r="F136" s="108" t="s">
        <v>408</v>
      </c>
      <c r="G136" s="108" t="s">
        <v>409</v>
      </c>
      <c r="I136" s="121">
        <f>E146-D134</f>
        <v>-28036.105741935433</v>
      </c>
      <c r="L136">
        <v>51111101</v>
      </c>
      <c r="M136" s="122">
        <v>327111</v>
      </c>
      <c r="N136" t="s">
        <v>402</v>
      </c>
      <c r="O136" s="114">
        <v>1631</v>
      </c>
      <c r="P136" s="102"/>
      <c r="Q136" s="102"/>
      <c r="R136" s="102"/>
      <c r="S136" s="115">
        <v>161.88</v>
      </c>
    </row>
    <row r="137" spans="4:19" x14ac:dyDescent="0.2">
      <c r="E137" s="106">
        <f>G122+H122</f>
        <v>35429.227499999986</v>
      </c>
      <c r="F137" s="108" t="s">
        <v>410</v>
      </c>
      <c r="G137" s="108">
        <v>214311</v>
      </c>
      <c r="L137">
        <v>51111101</v>
      </c>
      <c r="M137" s="62">
        <v>329111</v>
      </c>
      <c r="N137" t="s">
        <v>402</v>
      </c>
      <c r="O137" s="114">
        <v>38636.81</v>
      </c>
      <c r="P137" s="102"/>
      <c r="Q137" s="102"/>
      <c r="R137" s="102"/>
      <c r="S137" s="115">
        <v>5427.96</v>
      </c>
    </row>
    <row r="138" spans="4:19" x14ac:dyDescent="0.2">
      <c r="E138" s="106">
        <f>I122</f>
        <v>7307.8126666666694</v>
      </c>
      <c r="F138" s="108" t="s">
        <v>411</v>
      </c>
      <c r="G138" s="108">
        <v>214801</v>
      </c>
      <c r="L138">
        <v>51111101</v>
      </c>
      <c r="M138" s="62">
        <v>349311</v>
      </c>
      <c r="N138" t="s">
        <v>402</v>
      </c>
      <c r="O138" s="114">
        <v>3275</v>
      </c>
      <c r="P138" s="102"/>
      <c r="Q138" s="102"/>
      <c r="R138" s="102"/>
      <c r="S138" s="115">
        <v>466.69</v>
      </c>
    </row>
    <row r="139" spans="4:19" ht="15" x14ac:dyDescent="0.25">
      <c r="E139" s="123"/>
      <c r="L139">
        <v>51111101</v>
      </c>
      <c r="M139" s="122">
        <v>318223</v>
      </c>
      <c r="N139" t="s">
        <v>402</v>
      </c>
      <c r="O139" s="114">
        <v>1560</v>
      </c>
      <c r="P139" s="124"/>
      <c r="Q139" s="124"/>
      <c r="R139" s="124">
        <f>SUBTOTAL(9,R127:R138)</f>
        <v>0</v>
      </c>
      <c r="S139" s="115">
        <v>222.3</v>
      </c>
    </row>
    <row r="140" spans="4:19" ht="15" x14ac:dyDescent="0.25">
      <c r="E140" s="123"/>
      <c r="L140">
        <v>51111101</v>
      </c>
      <c r="M140" s="122">
        <v>325411</v>
      </c>
      <c r="N140" t="s">
        <v>402</v>
      </c>
      <c r="O140" s="114">
        <v>3619</v>
      </c>
      <c r="P140" s="124"/>
      <c r="Q140" s="124"/>
      <c r="R140" s="124"/>
      <c r="S140" s="115">
        <v>515.71</v>
      </c>
    </row>
    <row r="141" spans="4:19" ht="15" x14ac:dyDescent="0.25">
      <c r="E141" s="123"/>
      <c r="K141" s="125"/>
      <c r="L141">
        <v>51111101</v>
      </c>
      <c r="M141" s="62">
        <v>318242</v>
      </c>
      <c r="N141" t="s">
        <v>402</v>
      </c>
      <c r="O141" s="114">
        <v>1530</v>
      </c>
      <c r="P141" s="124"/>
      <c r="Q141" s="124"/>
      <c r="R141" s="124"/>
      <c r="S141" s="115">
        <v>363.38</v>
      </c>
    </row>
    <row r="142" spans="4:19" ht="15" x14ac:dyDescent="0.25">
      <c r="E142" s="123"/>
      <c r="L142">
        <v>51111101</v>
      </c>
      <c r="M142" s="62">
        <v>318531</v>
      </c>
      <c r="N142" t="s">
        <v>402</v>
      </c>
      <c r="O142" s="114">
        <v>266.67</v>
      </c>
      <c r="P142" s="124"/>
      <c r="Q142" s="124"/>
      <c r="R142" s="124"/>
      <c r="S142" s="115">
        <v>45.6</v>
      </c>
    </row>
    <row r="143" spans="4:19" ht="15" x14ac:dyDescent="0.25">
      <c r="E143" s="123"/>
      <c r="L143">
        <v>51111101</v>
      </c>
      <c r="M143" s="122">
        <v>322111</v>
      </c>
      <c r="N143" t="s">
        <v>402</v>
      </c>
      <c r="O143" s="114">
        <v>1008</v>
      </c>
      <c r="P143" s="124"/>
      <c r="Q143" s="124"/>
      <c r="R143" s="124"/>
      <c r="S143" s="115">
        <v>143.63999999999999</v>
      </c>
    </row>
    <row r="144" spans="4:19" ht="15" x14ac:dyDescent="0.25">
      <c r="E144" s="123"/>
      <c r="M144" s="122"/>
      <c r="O144" s="102"/>
      <c r="P144" s="124"/>
      <c r="Q144" s="124"/>
      <c r="R144" s="124"/>
      <c r="S144" s="115"/>
    </row>
    <row r="145" spans="5:21" ht="15" x14ac:dyDescent="0.25">
      <c r="E145" s="123"/>
      <c r="M145" s="122"/>
      <c r="O145" s="102"/>
      <c r="P145" s="124"/>
      <c r="Q145" s="124"/>
      <c r="R145" s="124"/>
      <c r="S145" s="115"/>
    </row>
    <row r="146" spans="5:21" ht="15" x14ac:dyDescent="0.25">
      <c r="E146" s="126">
        <f>SUM(E136:E139)</f>
        <v>160901.78116666665</v>
      </c>
      <c r="O146" s="124">
        <f>SUBTOTAL(9,O127:O145)</f>
        <v>148430.48000000001</v>
      </c>
      <c r="P146" s="124">
        <f>SUBTOTAL(9,P127:P139)</f>
        <v>0</v>
      </c>
      <c r="Q146" s="124">
        <f>SUBTOTAL(9,Q127:Q139)</f>
        <v>0</v>
      </c>
      <c r="R146" s="124">
        <f>SUBTOTAL(9,R127:R139)</f>
        <v>0</v>
      </c>
      <c r="S146" s="124">
        <f>SUM(S127:S144)</f>
        <v>20943.079999999994</v>
      </c>
      <c r="T146" s="124"/>
      <c r="U146" s="126"/>
    </row>
    <row r="148" spans="5:21" x14ac:dyDescent="0.2">
      <c r="K148" s="103">
        <f>M122</f>
        <v>146200.84674193538</v>
      </c>
      <c r="L148" s="127">
        <v>21141201</v>
      </c>
      <c r="N148" s="128" t="s">
        <v>412</v>
      </c>
    </row>
    <row r="149" spans="5:21" x14ac:dyDescent="0.2">
      <c r="K149" s="104">
        <f>G122+H122</f>
        <v>35429.227499999986</v>
      </c>
      <c r="L149" s="127">
        <v>21141204</v>
      </c>
      <c r="N149" s="128" t="s">
        <v>413</v>
      </c>
    </row>
    <row r="150" spans="5:21" ht="15" x14ac:dyDescent="0.25">
      <c r="K150" s="104">
        <f>I122</f>
        <v>7307.8126666666694</v>
      </c>
      <c r="L150" s="111">
        <v>21141304</v>
      </c>
      <c r="N150" s="128" t="s">
        <v>414</v>
      </c>
    </row>
    <row r="151" spans="5:21" ht="15" x14ac:dyDescent="0.25">
      <c r="S151" s="129">
        <f>SUM(S148:S150)</f>
        <v>0</v>
      </c>
    </row>
    <row r="152" spans="5:21" x14ac:dyDescent="0.2">
      <c r="S152" s="115">
        <f>O146+S146</f>
        <v>169373.56</v>
      </c>
    </row>
    <row r="153" spans="5:21" x14ac:dyDescent="0.2">
      <c r="K153" s="103">
        <f>K148+K149+K150</f>
        <v>188937.88690860203</v>
      </c>
    </row>
    <row r="154" spans="5:21" x14ac:dyDescent="0.2">
      <c r="M154" s="104">
        <f>S152-K153</f>
        <v>-19564.32690860203</v>
      </c>
    </row>
  </sheetData>
  <autoFilter ref="B3:T104" xr:uid="{00000000-0001-0000-0100-000000000000}">
    <filterColumn colId="0" showButton="0"/>
    <filterColumn colId="1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</autoFilter>
  <mergeCells count="4">
    <mergeCell ref="B1:D2"/>
    <mergeCell ref="E1:E2"/>
    <mergeCell ref="B3:D3"/>
    <mergeCell ref="E3:M3"/>
  </mergeCells>
  <conditionalFormatting sqref="L148">
    <cfRule type="duplicateValues" dxfId="99" priority="10"/>
    <cfRule type="duplicateValues" dxfId="98" priority="11"/>
    <cfRule type="duplicateValues" dxfId="97" priority="12"/>
    <cfRule type="duplicateValues" dxfId="96" priority="13"/>
  </conditionalFormatting>
  <conditionalFormatting sqref="L149">
    <cfRule type="duplicateValues" dxfId="95" priority="5"/>
    <cfRule type="duplicateValues" dxfId="94" priority="6"/>
    <cfRule type="duplicateValues" dxfId="93" priority="7"/>
    <cfRule type="duplicateValues" dxfId="92" priority="8"/>
  </conditionalFormatting>
  <conditionalFormatting sqref="L150">
    <cfRule type="duplicateValues" dxfId="91" priority="2"/>
    <cfRule type="duplicateValues" dxfId="90" priority="3"/>
  </conditionalFormatting>
  <conditionalFormatting sqref="M135">
    <cfRule type="duplicateValues" dxfId="89" priority="18"/>
  </conditionalFormatting>
  <conditionalFormatting sqref="N148">
    <cfRule type="duplicateValues" dxfId="88" priority="9"/>
  </conditionalFormatting>
  <conditionalFormatting sqref="N149">
    <cfRule type="duplicateValues" dxfId="87" priority="4"/>
  </conditionalFormatting>
  <conditionalFormatting sqref="N150">
    <cfRule type="duplicateValues" dxfId="86" priority="1"/>
  </conditionalFormatting>
  <conditionalFormatting sqref="P5:P49">
    <cfRule type="duplicateValues" dxfId="85" priority="19"/>
  </conditionalFormatting>
  <conditionalFormatting sqref="S59:S74">
    <cfRule type="duplicateValues" dxfId="84" priority="20"/>
  </conditionalFormatting>
  <conditionalFormatting sqref="S126">
    <cfRule type="duplicateValues" dxfId="83" priority="14"/>
    <cfRule type="duplicateValues" dxfId="82" priority="15"/>
    <cfRule type="duplicateValues" dxfId="81" priority="16"/>
    <cfRule type="duplicateValues" dxfId="80" priority="17"/>
  </conditionalFormatting>
  <pageMargins left="0.25" right="0.25" top="0.75" bottom="0.75" header="0.3" footer="0.3"/>
  <pageSetup paperSize="9" scale="53" fitToHeight="0" orientation="landscape" r:id="rId1"/>
  <headerFooter>
    <oddFooter>&amp;C_x000D_&amp;1#&amp;"Calibri"&amp;10&amp;KFFFF00 Ejada Internal Use Only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A41B5-AC12-4045-A92D-B107840A0B18}">
  <sheetPr codeName="Sheet7">
    <pageSetUpPr fitToPage="1"/>
  </sheetPr>
  <dimension ref="A1:V151"/>
  <sheetViews>
    <sheetView topLeftCell="A82" zoomScaleNormal="100" workbookViewId="0">
      <selection activeCell="B5" sqref="B5:C115"/>
    </sheetView>
  </sheetViews>
  <sheetFormatPr defaultRowHeight="14.25" x14ac:dyDescent="0.2"/>
  <cols>
    <col min="1" max="1" width="5.375" style="33" customWidth="1"/>
    <col min="2" max="2" width="10.875" style="33" customWidth="1"/>
    <col min="3" max="3" width="42.625" bestFit="1" customWidth="1"/>
    <col min="4" max="4" width="31.5" customWidth="1"/>
    <col min="5" max="6" width="15.375" customWidth="1"/>
    <col min="7" max="8" width="14.5" customWidth="1"/>
    <col min="9" max="9" width="14.125" customWidth="1"/>
    <col min="10" max="10" width="12.125" customWidth="1"/>
    <col min="11" max="11" width="15" customWidth="1"/>
    <col min="12" max="12" width="14.125" customWidth="1"/>
    <col min="13" max="13" width="17.625" customWidth="1"/>
    <col min="14" max="14" width="21" customWidth="1"/>
    <col min="15" max="15" width="10.25" customWidth="1"/>
    <col min="16" max="16" width="8.75" customWidth="1"/>
    <col min="17" max="17" width="41.625" customWidth="1"/>
    <col min="18" max="18" width="5.25" bestFit="1" customWidth="1"/>
    <col min="19" max="19" width="13.25" style="33" customWidth="1"/>
    <col min="20" max="20" width="59.375" bestFit="1" customWidth="1"/>
    <col min="21" max="21" width="12" bestFit="1" customWidth="1"/>
    <col min="23" max="23" width="8.875" customWidth="1"/>
  </cols>
  <sheetData>
    <row r="1" spans="1:20" x14ac:dyDescent="0.2">
      <c r="B1" s="198" t="s">
        <v>440</v>
      </c>
      <c r="C1" s="198"/>
      <c r="D1" s="198"/>
      <c r="E1" s="200">
        <v>45809</v>
      </c>
    </row>
    <row r="2" spans="1:20" ht="15" thickBot="1" x14ac:dyDescent="0.25">
      <c r="B2" s="199"/>
      <c r="C2" s="199"/>
      <c r="D2" s="199"/>
      <c r="E2" s="201"/>
    </row>
    <row r="3" spans="1:20" ht="18.75" thickBot="1" x14ac:dyDescent="0.25">
      <c r="B3" s="202" t="s">
        <v>32</v>
      </c>
      <c r="C3" s="203"/>
      <c r="D3" s="204"/>
      <c r="E3" s="203" t="s">
        <v>33</v>
      </c>
      <c r="F3" s="203"/>
      <c r="G3" s="203"/>
      <c r="H3" s="203"/>
      <c r="I3" s="203"/>
      <c r="J3" s="203"/>
      <c r="K3" s="203"/>
      <c r="L3" s="203"/>
      <c r="M3" s="204"/>
      <c r="N3" s="34" t="s">
        <v>34</v>
      </c>
      <c r="T3" s="33"/>
    </row>
    <row r="4" spans="1:20" ht="45" x14ac:dyDescent="0.2">
      <c r="A4" s="35" t="s">
        <v>35</v>
      </c>
      <c r="B4" s="35" t="s">
        <v>36</v>
      </c>
      <c r="C4" s="36" t="s">
        <v>37</v>
      </c>
      <c r="D4" s="37" t="s">
        <v>38</v>
      </c>
      <c r="E4" s="38" t="s">
        <v>13</v>
      </c>
      <c r="F4" s="39" t="s">
        <v>39</v>
      </c>
      <c r="G4" s="40" t="s">
        <v>40</v>
      </c>
      <c r="H4" s="40" t="s">
        <v>41</v>
      </c>
      <c r="I4" s="39" t="s">
        <v>23</v>
      </c>
      <c r="J4" s="39" t="s">
        <v>24</v>
      </c>
      <c r="K4" s="39" t="s">
        <v>42</v>
      </c>
      <c r="L4" s="39" t="s">
        <v>25</v>
      </c>
      <c r="M4" s="37" t="s">
        <v>43</v>
      </c>
      <c r="N4" s="41" t="s">
        <v>44</v>
      </c>
      <c r="O4" s="42" t="s">
        <v>45</v>
      </c>
      <c r="P4" s="43" t="s">
        <v>46</v>
      </c>
      <c r="Q4" s="43" t="s">
        <v>47</v>
      </c>
      <c r="R4" s="43" t="s">
        <v>48</v>
      </c>
      <c r="S4" s="43" t="s">
        <v>49</v>
      </c>
      <c r="T4" s="44" t="s">
        <v>50</v>
      </c>
    </row>
    <row r="5" spans="1:20" x14ac:dyDescent="0.2">
      <c r="A5" s="45">
        <v>1</v>
      </c>
      <c r="B5" s="45" t="s">
        <v>51</v>
      </c>
      <c r="C5" s="46" t="s">
        <v>52</v>
      </c>
      <c r="D5" s="47" t="s">
        <v>53</v>
      </c>
      <c r="E5" s="48">
        <v>745</v>
      </c>
      <c r="F5" s="49">
        <v>745</v>
      </c>
      <c r="G5" s="50">
        <f t="shared" ref="G5:G68" si="0">E5*0.075</f>
        <v>55.875</v>
      </c>
      <c r="H5" s="50">
        <f t="shared" ref="H5:H68" si="1">E5*0.1425</f>
        <v>106.16249999999999</v>
      </c>
      <c r="I5" s="51">
        <f t="shared" ref="I5:I68" si="2">(IF((O5="No"),(IF((($F5*12)-9000)&lt;0,0,(IF((($F5*12)-9000)&gt;20000,(5000*5%+5000*10%+5000*15%+5000*20%+((($F5*12)-9000)-20000)*25%),IF((($F5*12)-9000)&gt;15000,(5000*5%+5000*10%+5000*15%+((($F5*12)-9000)-15000)*20%),IF((($F5*12)-9000)&gt;10000,(5000*5%+5000*10%+((($F5*12)-9000)-10000)*15%),IF((($F5*12)-9000)&gt;5000,(5000*5%+((($F5*12)-9000)-5000)*10%),IF((($F5*12)-9000)&lt;5000,(($F5*12)-9000)*5%)))))))),((IF((($F5*12)-18000)&lt;0,0,(IF((($F5*12)-18000)&gt;20000,(5000*5%+5000*10%+5000*15%+5000*20%+((($F5*12)-18000)-20000)*25%),IF((($F5*12)-18000)&gt;15000,(5000*5%+5000*10%+5000*15%+((($F5*12)-18000)-15000)*20%),IF((($F5*12)-18000)&gt;10000,(5000*5%+5000*10%+((($F5*12)-18000)-10000)*15%),IF((($F5*12)-18000)&gt;5000,(5000*5%+((($F5*12)-18000)-5000)*10%),IF((($F5*12)-18000)&lt;5000,(($F5*12)-18000)*5%))))))))))/12)</f>
        <v>0</v>
      </c>
      <c r="J5" s="52"/>
      <c r="K5" s="52">
        <v>0</v>
      </c>
      <c r="L5" s="53"/>
      <c r="M5" s="54">
        <f t="shared" ref="M5:M68" si="3">(F5+K5)-SUM(G5,I5,J5,L5)</f>
        <v>689.125</v>
      </c>
      <c r="N5" s="55">
        <f t="shared" ref="N5:N68" si="4">F5+H5</f>
        <v>851.16250000000002</v>
      </c>
      <c r="O5" s="33" t="s">
        <v>54</v>
      </c>
      <c r="P5" s="56" t="s">
        <v>51</v>
      </c>
      <c r="Q5" s="56" t="s">
        <v>52</v>
      </c>
      <c r="R5" s="57" t="s">
        <v>55</v>
      </c>
      <c r="S5" s="58">
        <v>329111</v>
      </c>
      <c r="T5" s="56" t="s">
        <v>56</v>
      </c>
    </row>
    <row r="6" spans="1:20" x14ac:dyDescent="0.2">
      <c r="A6" s="45">
        <v>2</v>
      </c>
      <c r="B6" s="45" t="s">
        <v>57</v>
      </c>
      <c r="C6" s="46" t="s">
        <v>58</v>
      </c>
      <c r="D6" s="59" t="s">
        <v>53</v>
      </c>
      <c r="E6" s="48">
        <f>1583+475</f>
        <v>2058</v>
      </c>
      <c r="F6" s="49">
        <f>E6</f>
        <v>2058</v>
      </c>
      <c r="G6" s="50">
        <f>1583*0.075</f>
        <v>118.72499999999999</v>
      </c>
      <c r="H6" s="50">
        <f>1583*0.1425</f>
        <v>225.57749999999999</v>
      </c>
      <c r="I6" s="51">
        <f t="shared" si="2"/>
        <v>136.6</v>
      </c>
      <c r="J6" s="52"/>
      <c r="K6" s="52">
        <v>0</v>
      </c>
      <c r="L6" s="53"/>
      <c r="M6" s="54">
        <f>(F6+K6)-SUM(G6,I6,J6,L6)</f>
        <v>1802.675</v>
      </c>
      <c r="N6" s="55">
        <f t="shared" si="4"/>
        <v>2283.5774999999999</v>
      </c>
      <c r="O6" s="33" t="s">
        <v>54</v>
      </c>
      <c r="P6" s="60" t="s">
        <v>57</v>
      </c>
      <c r="Q6" s="60" t="s">
        <v>58</v>
      </c>
      <c r="R6" s="61" t="s">
        <v>59</v>
      </c>
      <c r="S6" s="62">
        <v>329111</v>
      </c>
      <c r="T6" s="60" t="s">
        <v>56</v>
      </c>
    </row>
    <row r="7" spans="1:20" ht="15" thickBot="1" x14ac:dyDescent="0.25">
      <c r="A7" s="45">
        <v>3</v>
      </c>
      <c r="B7" s="45" t="s">
        <v>60</v>
      </c>
      <c r="C7" s="46" t="s">
        <v>61</v>
      </c>
      <c r="D7" s="47" t="s">
        <v>62</v>
      </c>
      <c r="E7" s="48">
        <v>2755</v>
      </c>
      <c r="F7" s="49">
        <v>2755</v>
      </c>
      <c r="G7" s="50">
        <f t="shared" si="0"/>
        <v>206.625</v>
      </c>
      <c r="H7" s="50">
        <f t="shared" si="1"/>
        <v>392.58749999999998</v>
      </c>
      <c r="I7" s="51">
        <f t="shared" si="2"/>
        <v>292.91666666666669</v>
      </c>
      <c r="J7" s="52"/>
      <c r="K7" s="52">
        <v>0</v>
      </c>
      <c r="L7" s="53"/>
      <c r="M7" s="54">
        <f t="shared" si="3"/>
        <v>2255.4583333333335</v>
      </c>
      <c r="N7" s="55">
        <f t="shared" si="4"/>
        <v>3147.5875000000001</v>
      </c>
      <c r="O7" s="33" t="s">
        <v>54</v>
      </c>
      <c r="P7" s="60" t="s">
        <v>60</v>
      </c>
      <c r="Q7" s="60" t="s">
        <v>61</v>
      </c>
      <c r="R7" s="61" t="s">
        <v>59</v>
      </c>
      <c r="S7" s="62">
        <v>323111</v>
      </c>
      <c r="T7" s="60" t="s">
        <v>56</v>
      </c>
    </row>
    <row r="8" spans="1:20" x14ac:dyDescent="0.2">
      <c r="A8" s="63">
        <v>4</v>
      </c>
      <c r="B8" s="45" t="s">
        <v>63</v>
      </c>
      <c r="C8" s="46" t="s">
        <v>64</v>
      </c>
      <c r="D8" s="47" t="s">
        <v>65</v>
      </c>
      <c r="E8" s="48">
        <v>900</v>
      </c>
      <c r="F8" s="49">
        <v>900</v>
      </c>
      <c r="G8" s="50">
        <f t="shared" si="0"/>
        <v>67.5</v>
      </c>
      <c r="H8" s="50">
        <f t="shared" si="1"/>
        <v>128.25</v>
      </c>
      <c r="I8" s="51">
        <f t="shared" si="2"/>
        <v>7.5</v>
      </c>
      <c r="J8" s="52"/>
      <c r="K8" s="52">
        <v>0</v>
      </c>
      <c r="L8" s="53"/>
      <c r="M8" s="54">
        <f t="shared" si="3"/>
        <v>825</v>
      </c>
      <c r="N8" s="55">
        <f t="shared" si="4"/>
        <v>1028.25</v>
      </c>
      <c r="O8" s="33" t="s">
        <v>54</v>
      </c>
      <c r="P8" s="60" t="s">
        <v>63</v>
      </c>
      <c r="Q8" s="60" t="s">
        <v>64</v>
      </c>
      <c r="R8" s="61" t="s">
        <v>59</v>
      </c>
      <c r="S8" s="62">
        <v>323111</v>
      </c>
      <c r="T8" s="60" t="s">
        <v>56</v>
      </c>
    </row>
    <row r="9" spans="1:20" x14ac:dyDescent="0.2">
      <c r="A9" s="45">
        <v>5</v>
      </c>
      <c r="B9" s="45" t="s">
        <v>66</v>
      </c>
      <c r="C9" s="46" t="s">
        <v>67</v>
      </c>
      <c r="D9" s="47" t="s">
        <v>68</v>
      </c>
      <c r="E9" s="48">
        <v>2428</v>
      </c>
      <c r="F9" s="49">
        <v>2428</v>
      </c>
      <c r="G9" s="50">
        <f t="shared" si="0"/>
        <v>182.1</v>
      </c>
      <c r="H9" s="50">
        <f t="shared" si="1"/>
        <v>345.98999999999995</v>
      </c>
      <c r="I9" s="51">
        <f t="shared" si="2"/>
        <v>76.7</v>
      </c>
      <c r="J9" s="52"/>
      <c r="K9" s="52">
        <v>0</v>
      </c>
      <c r="L9" s="53"/>
      <c r="M9" s="54">
        <f t="shared" si="3"/>
        <v>2169.1999999999998</v>
      </c>
      <c r="N9" s="55">
        <f t="shared" si="4"/>
        <v>2773.99</v>
      </c>
      <c r="O9" s="33" t="s">
        <v>69</v>
      </c>
      <c r="P9" s="60" t="s">
        <v>66</v>
      </c>
      <c r="Q9" s="60" t="s">
        <v>67</v>
      </c>
      <c r="R9" s="61" t="s">
        <v>59</v>
      </c>
      <c r="S9" s="62">
        <v>329111</v>
      </c>
      <c r="T9" s="60" t="s">
        <v>56</v>
      </c>
    </row>
    <row r="10" spans="1:20" x14ac:dyDescent="0.2">
      <c r="A10" s="45">
        <v>6</v>
      </c>
      <c r="B10" s="45" t="s">
        <v>70</v>
      </c>
      <c r="C10" s="46" t="s">
        <v>71</v>
      </c>
      <c r="D10" s="47" t="s">
        <v>65</v>
      </c>
      <c r="E10" s="48">
        <v>1165</v>
      </c>
      <c r="F10" s="49">
        <v>1165</v>
      </c>
      <c r="G10" s="50">
        <f t="shared" si="0"/>
        <v>87.375</v>
      </c>
      <c r="H10" s="50">
        <f t="shared" si="1"/>
        <v>166.01249999999999</v>
      </c>
      <c r="I10" s="51">
        <f t="shared" si="2"/>
        <v>20.75</v>
      </c>
      <c r="J10" s="52"/>
      <c r="K10" s="52">
        <v>0</v>
      </c>
      <c r="L10" s="53"/>
      <c r="M10" s="54">
        <f t="shared" si="3"/>
        <v>1056.875</v>
      </c>
      <c r="N10" s="55">
        <f t="shared" si="4"/>
        <v>1331.0125</v>
      </c>
      <c r="O10" s="33" t="s">
        <v>54</v>
      </c>
      <c r="P10" s="60" t="s">
        <v>70</v>
      </c>
      <c r="Q10" s="60" t="s">
        <v>71</v>
      </c>
      <c r="R10" s="61" t="s">
        <v>59</v>
      </c>
      <c r="S10" s="62">
        <v>323111</v>
      </c>
      <c r="T10" s="60" t="s">
        <v>56</v>
      </c>
    </row>
    <row r="11" spans="1:20" ht="15" thickBot="1" x14ac:dyDescent="0.25">
      <c r="A11" s="45">
        <v>7</v>
      </c>
      <c r="B11" s="45" t="s">
        <v>72</v>
      </c>
      <c r="C11" s="46" t="s">
        <v>73</v>
      </c>
      <c r="D11" s="47" t="s">
        <v>74</v>
      </c>
      <c r="E11" s="48">
        <v>2540</v>
      </c>
      <c r="F11" s="49">
        <v>2540</v>
      </c>
      <c r="G11" s="50">
        <f t="shared" si="0"/>
        <v>190.5</v>
      </c>
      <c r="H11" s="50">
        <f t="shared" si="1"/>
        <v>361.95</v>
      </c>
      <c r="I11" s="51">
        <f t="shared" si="2"/>
        <v>93.5</v>
      </c>
      <c r="J11" s="52"/>
      <c r="K11" s="52">
        <v>0</v>
      </c>
      <c r="L11" s="53"/>
      <c r="M11" s="54">
        <f t="shared" si="3"/>
        <v>2256</v>
      </c>
      <c r="N11" s="55">
        <f t="shared" si="4"/>
        <v>2901.95</v>
      </c>
      <c r="O11" s="33" t="s">
        <v>69</v>
      </c>
      <c r="P11" s="60" t="s">
        <v>72</v>
      </c>
      <c r="Q11" s="60" t="s">
        <v>73</v>
      </c>
      <c r="R11" s="61" t="s">
        <v>59</v>
      </c>
      <c r="S11" s="62">
        <v>323111</v>
      </c>
      <c r="T11" s="60" t="s">
        <v>56</v>
      </c>
    </row>
    <row r="12" spans="1:20" x14ac:dyDescent="0.2">
      <c r="A12" s="63">
        <v>8</v>
      </c>
      <c r="B12" s="64" t="s">
        <v>75</v>
      </c>
      <c r="C12" s="46" t="s">
        <v>76</v>
      </c>
      <c r="D12" s="47" t="s">
        <v>77</v>
      </c>
      <c r="E12" s="65">
        <v>2273</v>
      </c>
      <c r="F12" s="50">
        <v>2273</v>
      </c>
      <c r="G12" s="50">
        <f t="shared" si="0"/>
        <v>170.47499999999999</v>
      </c>
      <c r="H12" s="50">
        <f t="shared" si="1"/>
        <v>323.90249999999997</v>
      </c>
      <c r="I12" s="51">
        <f t="shared" si="2"/>
        <v>56.466666666666669</v>
      </c>
      <c r="J12" s="52"/>
      <c r="K12" s="52">
        <v>0</v>
      </c>
      <c r="L12" s="53"/>
      <c r="M12" s="54">
        <f t="shared" si="3"/>
        <v>2046.0583333333334</v>
      </c>
      <c r="N12" s="55">
        <f t="shared" si="4"/>
        <v>2596.9025000000001</v>
      </c>
      <c r="O12" s="33" t="s">
        <v>69</v>
      </c>
      <c r="P12" s="60" t="s">
        <v>75</v>
      </c>
      <c r="Q12" s="60" t="s">
        <v>76</v>
      </c>
      <c r="R12" s="61" t="s">
        <v>59</v>
      </c>
      <c r="S12" s="62">
        <v>323111</v>
      </c>
      <c r="T12" s="60" t="s">
        <v>56</v>
      </c>
    </row>
    <row r="13" spans="1:20" x14ac:dyDescent="0.2">
      <c r="A13" s="45">
        <v>9</v>
      </c>
      <c r="B13" s="66" t="s">
        <v>78</v>
      </c>
      <c r="C13" s="46" t="s">
        <v>79</v>
      </c>
      <c r="D13" s="67" t="s">
        <v>74</v>
      </c>
      <c r="E13" s="68">
        <v>2350</v>
      </c>
      <c r="F13" s="52">
        <v>2350</v>
      </c>
      <c r="G13" s="50">
        <f t="shared" si="0"/>
        <v>176.25</v>
      </c>
      <c r="H13" s="50">
        <f t="shared" si="1"/>
        <v>334.87499999999994</v>
      </c>
      <c r="I13" s="51">
        <f t="shared" si="2"/>
        <v>195</v>
      </c>
      <c r="J13" s="52"/>
      <c r="K13" s="52">
        <v>0</v>
      </c>
      <c r="L13" s="53"/>
      <c r="M13" s="54">
        <f t="shared" si="3"/>
        <v>1978.75</v>
      </c>
      <c r="N13" s="55">
        <f t="shared" si="4"/>
        <v>2684.875</v>
      </c>
      <c r="O13" s="33" t="s">
        <v>54</v>
      </c>
      <c r="P13" s="60" t="s">
        <v>78</v>
      </c>
      <c r="Q13" s="60" t="s">
        <v>79</v>
      </c>
      <c r="R13" s="61" t="s">
        <v>59</v>
      </c>
      <c r="S13" s="62">
        <v>323111</v>
      </c>
      <c r="T13" s="60" t="s">
        <v>56</v>
      </c>
    </row>
    <row r="14" spans="1:20" x14ac:dyDescent="0.2">
      <c r="A14" s="45">
        <v>10</v>
      </c>
      <c r="B14" s="66" t="s">
        <v>80</v>
      </c>
      <c r="C14" s="46" t="s">
        <v>81</v>
      </c>
      <c r="D14" s="67" t="s">
        <v>82</v>
      </c>
      <c r="E14" s="68">
        <v>710</v>
      </c>
      <c r="F14" s="52">
        <v>710</v>
      </c>
      <c r="G14" s="50">
        <f t="shared" si="0"/>
        <v>53.25</v>
      </c>
      <c r="H14" s="50">
        <f t="shared" si="1"/>
        <v>101.175</v>
      </c>
      <c r="I14" s="51">
        <f t="shared" si="2"/>
        <v>0</v>
      </c>
      <c r="J14" s="52"/>
      <c r="K14" s="52">
        <v>0</v>
      </c>
      <c r="L14" s="53"/>
      <c r="M14" s="54">
        <f t="shared" si="3"/>
        <v>656.75</v>
      </c>
      <c r="N14" s="55">
        <f t="shared" si="4"/>
        <v>811.17499999999995</v>
      </c>
      <c r="O14" s="33" t="s">
        <v>54</v>
      </c>
      <c r="P14" s="60" t="s">
        <v>80</v>
      </c>
      <c r="Q14" s="60" t="s">
        <v>81</v>
      </c>
      <c r="R14" s="61" t="s">
        <v>59</v>
      </c>
      <c r="S14" s="62">
        <v>329111</v>
      </c>
      <c r="T14" s="60" t="s">
        <v>56</v>
      </c>
    </row>
    <row r="15" spans="1:20" ht="15" thickBot="1" x14ac:dyDescent="0.25">
      <c r="A15" s="45">
        <v>11</v>
      </c>
      <c r="B15" s="66" t="s">
        <v>83</v>
      </c>
      <c r="C15" s="46" t="s">
        <v>84</v>
      </c>
      <c r="D15" s="67" t="s">
        <v>85</v>
      </c>
      <c r="E15" s="68">
        <v>1535</v>
      </c>
      <c r="F15" s="52">
        <v>1535</v>
      </c>
      <c r="G15" s="50">
        <f t="shared" si="0"/>
        <v>115.125</v>
      </c>
      <c r="H15" s="50">
        <f t="shared" si="1"/>
        <v>218.73749999999998</v>
      </c>
      <c r="I15" s="51">
        <f t="shared" si="2"/>
        <v>57.666666666666664</v>
      </c>
      <c r="J15" s="52"/>
      <c r="K15" s="52">
        <v>0</v>
      </c>
      <c r="L15" s="53"/>
      <c r="M15" s="54">
        <f t="shared" si="3"/>
        <v>1362.2083333333333</v>
      </c>
      <c r="N15" s="55">
        <f t="shared" si="4"/>
        <v>1753.7375</v>
      </c>
      <c r="O15" s="33" t="s">
        <v>54</v>
      </c>
      <c r="P15" s="60" t="s">
        <v>83</v>
      </c>
      <c r="Q15" s="60" t="s">
        <v>84</v>
      </c>
      <c r="R15" s="61" t="s">
        <v>55</v>
      </c>
      <c r="S15" s="62">
        <v>323111</v>
      </c>
      <c r="T15" s="60" t="s">
        <v>56</v>
      </c>
    </row>
    <row r="16" spans="1:20" x14ac:dyDescent="0.2">
      <c r="A16" s="63">
        <v>12</v>
      </c>
      <c r="B16" s="66" t="s">
        <v>86</v>
      </c>
      <c r="C16" s="46" t="s">
        <v>87</v>
      </c>
      <c r="D16" s="67" t="s">
        <v>65</v>
      </c>
      <c r="E16" s="69">
        <v>1235</v>
      </c>
      <c r="F16" s="49">
        <v>1235</v>
      </c>
      <c r="G16" s="50">
        <f t="shared" si="0"/>
        <v>92.625</v>
      </c>
      <c r="H16" s="50">
        <f t="shared" si="1"/>
        <v>175.98749999999998</v>
      </c>
      <c r="I16" s="51">
        <f t="shared" si="2"/>
        <v>27.666666666666668</v>
      </c>
      <c r="J16" s="52"/>
      <c r="K16" s="52">
        <v>0</v>
      </c>
      <c r="L16" s="53"/>
      <c r="M16" s="54">
        <f t="shared" si="3"/>
        <v>1114.7083333333333</v>
      </c>
      <c r="N16" s="55">
        <f t="shared" si="4"/>
        <v>1410.9875</v>
      </c>
      <c r="O16" s="33" t="s">
        <v>54</v>
      </c>
      <c r="P16" s="60" t="s">
        <v>86</v>
      </c>
      <c r="Q16" s="60" t="s">
        <v>87</v>
      </c>
      <c r="R16" s="61" t="s">
        <v>55</v>
      </c>
      <c r="S16" s="62">
        <v>323111</v>
      </c>
      <c r="T16" s="60" t="s">
        <v>56</v>
      </c>
    </row>
    <row r="17" spans="1:20" x14ac:dyDescent="0.2">
      <c r="A17" s="45">
        <v>13</v>
      </c>
      <c r="B17" s="66" t="s">
        <v>88</v>
      </c>
      <c r="C17" s="46" t="s">
        <v>89</v>
      </c>
      <c r="D17" s="67" t="s">
        <v>82</v>
      </c>
      <c r="E17" s="69">
        <v>1000</v>
      </c>
      <c r="F17" s="49">
        <v>1000</v>
      </c>
      <c r="G17" s="50">
        <f t="shared" si="0"/>
        <v>75</v>
      </c>
      <c r="H17" s="50">
        <f t="shared" si="1"/>
        <v>142.5</v>
      </c>
      <c r="I17" s="51">
        <f t="shared" si="2"/>
        <v>12.5</v>
      </c>
      <c r="J17" s="52"/>
      <c r="K17" s="52">
        <v>0</v>
      </c>
      <c r="L17" s="53"/>
      <c r="M17" s="54">
        <f t="shared" si="3"/>
        <v>912.5</v>
      </c>
      <c r="N17" s="55">
        <f t="shared" si="4"/>
        <v>1142.5</v>
      </c>
      <c r="O17" s="33" t="s">
        <v>54</v>
      </c>
      <c r="P17" s="60" t="s">
        <v>88</v>
      </c>
      <c r="Q17" s="60" t="s">
        <v>89</v>
      </c>
      <c r="R17" s="61" t="s">
        <v>55</v>
      </c>
      <c r="S17" s="62">
        <v>329111</v>
      </c>
      <c r="T17" s="60" t="s">
        <v>56</v>
      </c>
    </row>
    <row r="18" spans="1:20" x14ac:dyDescent="0.2">
      <c r="A18" s="45">
        <v>14</v>
      </c>
      <c r="B18" s="45" t="s">
        <v>90</v>
      </c>
      <c r="C18" s="46" t="s">
        <v>91</v>
      </c>
      <c r="D18" s="70" t="s">
        <v>53</v>
      </c>
      <c r="E18" s="69">
        <v>1470</v>
      </c>
      <c r="F18" s="49">
        <v>1470</v>
      </c>
      <c r="G18" s="50">
        <f t="shared" si="0"/>
        <v>110.25</v>
      </c>
      <c r="H18" s="50">
        <f t="shared" si="1"/>
        <v>209.47499999999999</v>
      </c>
      <c r="I18" s="51">
        <f t="shared" si="2"/>
        <v>51.166666666666664</v>
      </c>
      <c r="J18" s="52"/>
      <c r="K18" s="52">
        <v>0</v>
      </c>
      <c r="L18" s="53"/>
      <c r="M18" s="54">
        <f t="shared" si="3"/>
        <v>1308.5833333333333</v>
      </c>
      <c r="N18" s="55">
        <f t="shared" si="4"/>
        <v>1679.4749999999999</v>
      </c>
      <c r="O18" s="33" t="s">
        <v>54</v>
      </c>
      <c r="P18" s="60" t="s">
        <v>90</v>
      </c>
      <c r="Q18" s="60" t="s">
        <v>91</v>
      </c>
      <c r="R18" s="61" t="s">
        <v>55</v>
      </c>
      <c r="S18" s="62">
        <v>329111</v>
      </c>
      <c r="T18" s="60" t="s">
        <v>56</v>
      </c>
    </row>
    <row r="19" spans="1:20" ht="15" thickBot="1" x14ac:dyDescent="0.25">
      <c r="A19" s="45">
        <v>15</v>
      </c>
      <c r="B19" s="45" t="s">
        <v>92</v>
      </c>
      <c r="C19" s="46" t="s">
        <v>93</v>
      </c>
      <c r="D19" s="70" t="s">
        <v>94</v>
      </c>
      <c r="E19" s="69">
        <v>2840</v>
      </c>
      <c r="F19" s="49">
        <v>2840</v>
      </c>
      <c r="G19" s="50">
        <f t="shared" si="0"/>
        <v>213</v>
      </c>
      <c r="H19" s="50">
        <f t="shared" si="1"/>
        <v>404.7</v>
      </c>
      <c r="I19" s="51">
        <f t="shared" si="2"/>
        <v>143</v>
      </c>
      <c r="J19" s="52"/>
      <c r="K19" s="52">
        <v>0</v>
      </c>
      <c r="L19" s="53"/>
      <c r="M19" s="54">
        <f t="shared" si="3"/>
        <v>2484</v>
      </c>
      <c r="N19" s="55">
        <f t="shared" si="4"/>
        <v>3244.7</v>
      </c>
      <c r="O19" s="33" t="s">
        <v>69</v>
      </c>
      <c r="P19" s="60" t="s">
        <v>92</v>
      </c>
      <c r="Q19" s="60" t="s">
        <v>93</v>
      </c>
      <c r="R19" s="61" t="s">
        <v>55</v>
      </c>
      <c r="S19" s="62">
        <v>329111</v>
      </c>
      <c r="T19" s="60" t="s">
        <v>56</v>
      </c>
    </row>
    <row r="20" spans="1:20" x14ac:dyDescent="0.2">
      <c r="A20" s="63">
        <v>16</v>
      </c>
      <c r="B20" s="45" t="s">
        <v>95</v>
      </c>
      <c r="C20" s="46" t="s">
        <v>96</v>
      </c>
      <c r="D20" s="70" t="s">
        <v>97</v>
      </c>
      <c r="E20" s="68">
        <v>925</v>
      </c>
      <c r="F20" s="52">
        <v>925</v>
      </c>
      <c r="G20" s="50">
        <f t="shared" si="0"/>
        <v>69.375</v>
      </c>
      <c r="H20" s="50">
        <f t="shared" si="1"/>
        <v>131.8125</v>
      </c>
      <c r="I20" s="51">
        <f t="shared" si="2"/>
        <v>8.75</v>
      </c>
      <c r="J20" s="52"/>
      <c r="K20" s="52">
        <v>0</v>
      </c>
      <c r="L20" s="53"/>
      <c r="M20" s="54">
        <f t="shared" si="3"/>
        <v>846.875</v>
      </c>
      <c r="N20" s="55">
        <f t="shared" si="4"/>
        <v>1056.8125</v>
      </c>
      <c r="O20" s="33" t="s">
        <v>54</v>
      </c>
      <c r="P20" s="60" t="s">
        <v>95</v>
      </c>
      <c r="Q20" s="60" t="s">
        <v>96</v>
      </c>
      <c r="R20" s="61" t="s">
        <v>59</v>
      </c>
      <c r="S20" s="62">
        <v>323111</v>
      </c>
      <c r="T20" s="60" t="s">
        <v>56</v>
      </c>
    </row>
    <row r="21" spans="1:20" x14ac:dyDescent="0.2">
      <c r="A21" s="45">
        <v>17</v>
      </c>
      <c r="B21" s="45" t="s">
        <v>98</v>
      </c>
      <c r="C21" s="46" t="s">
        <v>99</v>
      </c>
      <c r="D21" s="70" t="s">
        <v>100</v>
      </c>
      <c r="E21" s="68">
        <v>1675</v>
      </c>
      <c r="F21" s="52">
        <v>1675</v>
      </c>
      <c r="G21" s="50">
        <f t="shared" si="0"/>
        <v>125.625</v>
      </c>
      <c r="H21" s="50">
        <f t="shared" si="1"/>
        <v>238.68749999999997</v>
      </c>
      <c r="I21" s="51">
        <f t="shared" si="2"/>
        <v>8.75</v>
      </c>
      <c r="J21" s="52"/>
      <c r="K21" s="52">
        <v>0</v>
      </c>
      <c r="L21" s="53"/>
      <c r="M21" s="54">
        <f t="shared" si="3"/>
        <v>1540.625</v>
      </c>
      <c r="N21" s="55">
        <f t="shared" si="4"/>
        <v>1913.6875</v>
      </c>
      <c r="O21" s="33" t="s">
        <v>69</v>
      </c>
      <c r="P21" s="60" t="s">
        <v>98</v>
      </c>
      <c r="Q21" s="60" t="s">
        <v>99</v>
      </c>
      <c r="R21" s="61" t="s">
        <v>101</v>
      </c>
      <c r="S21" s="62">
        <v>349311</v>
      </c>
      <c r="T21" s="60" t="s">
        <v>102</v>
      </c>
    </row>
    <row r="22" spans="1:20" x14ac:dyDescent="0.2">
      <c r="A22" s="45">
        <v>18</v>
      </c>
      <c r="B22" s="45" t="s">
        <v>103</v>
      </c>
      <c r="C22" s="46" t="s">
        <v>104</v>
      </c>
      <c r="D22" s="70" t="s">
        <v>82</v>
      </c>
      <c r="E22" s="68">
        <v>1012</v>
      </c>
      <c r="F22" s="52">
        <v>1012</v>
      </c>
      <c r="G22" s="50">
        <f t="shared" si="0"/>
        <v>75.899999999999991</v>
      </c>
      <c r="H22" s="50">
        <f t="shared" si="1"/>
        <v>144.20999999999998</v>
      </c>
      <c r="I22" s="51">
        <f t="shared" si="2"/>
        <v>13.100000000000001</v>
      </c>
      <c r="J22" s="52"/>
      <c r="K22" s="52">
        <v>0</v>
      </c>
      <c r="L22" s="53"/>
      <c r="M22" s="54">
        <f t="shared" si="3"/>
        <v>923</v>
      </c>
      <c r="N22" s="55">
        <f t="shared" si="4"/>
        <v>1156.21</v>
      </c>
      <c r="O22" s="33" t="s">
        <v>54</v>
      </c>
      <c r="P22" s="60" t="s">
        <v>103</v>
      </c>
      <c r="Q22" s="60" t="s">
        <v>104</v>
      </c>
      <c r="R22" s="61" t="s">
        <v>59</v>
      </c>
      <c r="S22" s="62">
        <v>329111</v>
      </c>
      <c r="T22" s="60" t="s">
        <v>56</v>
      </c>
    </row>
    <row r="23" spans="1:20" ht="15" thickBot="1" x14ac:dyDescent="0.25">
      <c r="A23" s="45">
        <v>19</v>
      </c>
      <c r="B23" s="45" t="s">
        <v>105</v>
      </c>
      <c r="C23" s="46" t="s">
        <v>106</v>
      </c>
      <c r="D23" s="70" t="s">
        <v>82</v>
      </c>
      <c r="E23" s="68">
        <v>1193</v>
      </c>
      <c r="F23" s="52">
        <v>1193</v>
      </c>
      <c r="G23" s="50">
        <f t="shared" si="0"/>
        <v>89.474999999999994</v>
      </c>
      <c r="H23" s="50">
        <f t="shared" si="1"/>
        <v>170.0025</v>
      </c>
      <c r="I23" s="51">
        <f t="shared" si="2"/>
        <v>23.466666666666669</v>
      </c>
      <c r="J23" s="52"/>
      <c r="K23" s="52">
        <v>0</v>
      </c>
      <c r="L23" s="53"/>
      <c r="M23" s="54">
        <f t="shared" si="3"/>
        <v>1080.0583333333334</v>
      </c>
      <c r="N23" s="55">
        <f t="shared" si="4"/>
        <v>1363.0025000000001</v>
      </c>
      <c r="O23" s="33" t="s">
        <v>54</v>
      </c>
      <c r="P23" s="60" t="s">
        <v>105</v>
      </c>
      <c r="Q23" s="60" t="s">
        <v>106</v>
      </c>
      <c r="R23" s="61" t="s">
        <v>59</v>
      </c>
      <c r="S23" s="62">
        <v>329111</v>
      </c>
      <c r="T23" s="60" t="s">
        <v>56</v>
      </c>
    </row>
    <row r="24" spans="1:20" x14ac:dyDescent="0.2">
      <c r="A24" s="63">
        <v>20</v>
      </c>
      <c r="B24" s="71" t="s">
        <v>107</v>
      </c>
      <c r="C24" s="46" t="s">
        <v>108</v>
      </c>
      <c r="D24" s="70" t="s">
        <v>109</v>
      </c>
      <c r="E24" s="68">
        <v>2500</v>
      </c>
      <c r="F24" s="52">
        <v>2500</v>
      </c>
      <c r="G24" s="50">
        <f t="shared" si="0"/>
        <v>187.5</v>
      </c>
      <c r="H24" s="50">
        <f t="shared" si="1"/>
        <v>356.24999999999994</v>
      </c>
      <c r="I24" s="51">
        <f t="shared" si="2"/>
        <v>87.5</v>
      </c>
      <c r="J24" s="52"/>
      <c r="K24" s="52">
        <v>0</v>
      </c>
      <c r="L24" s="53"/>
      <c r="M24" s="54">
        <f t="shared" si="3"/>
        <v>2225</v>
      </c>
      <c r="N24" s="55">
        <f t="shared" si="4"/>
        <v>2856.25</v>
      </c>
      <c r="O24" s="33" t="s">
        <v>69</v>
      </c>
      <c r="P24" s="60" t="s">
        <v>107</v>
      </c>
      <c r="Q24" s="60" t="s">
        <v>108</v>
      </c>
      <c r="R24" s="61" t="s">
        <v>59</v>
      </c>
      <c r="S24" s="62">
        <v>122111</v>
      </c>
      <c r="T24" s="60" t="s">
        <v>110</v>
      </c>
    </row>
    <row r="25" spans="1:20" x14ac:dyDescent="0.2">
      <c r="A25" s="45">
        <v>21</v>
      </c>
      <c r="B25" s="45" t="s">
        <v>111</v>
      </c>
      <c r="C25" s="46" t="s">
        <v>112</v>
      </c>
      <c r="D25" s="70" t="s">
        <v>82</v>
      </c>
      <c r="E25" s="68">
        <v>1012</v>
      </c>
      <c r="F25" s="52">
        <v>1012</v>
      </c>
      <c r="G25" s="50">
        <f t="shared" si="0"/>
        <v>75.899999999999991</v>
      </c>
      <c r="H25" s="50">
        <f t="shared" si="1"/>
        <v>144.20999999999998</v>
      </c>
      <c r="I25" s="51">
        <f t="shared" si="2"/>
        <v>13.100000000000001</v>
      </c>
      <c r="J25" s="52"/>
      <c r="K25" s="52">
        <v>0</v>
      </c>
      <c r="L25" s="53"/>
      <c r="M25" s="54">
        <f t="shared" si="3"/>
        <v>923</v>
      </c>
      <c r="N25" s="55">
        <f t="shared" si="4"/>
        <v>1156.21</v>
      </c>
      <c r="O25" s="33" t="s">
        <v>54</v>
      </c>
      <c r="P25" s="60" t="s">
        <v>111</v>
      </c>
      <c r="Q25" s="60" t="s">
        <v>112</v>
      </c>
      <c r="R25" s="61" t="s">
        <v>59</v>
      </c>
      <c r="S25" s="62">
        <v>329111</v>
      </c>
      <c r="T25" s="60" t="s">
        <v>56</v>
      </c>
    </row>
    <row r="26" spans="1:20" x14ac:dyDescent="0.2">
      <c r="A26" s="45">
        <v>22</v>
      </c>
      <c r="B26" s="45" t="s">
        <v>113</v>
      </c>
      <c r="C26" s="46" t="s">
        <v>114</v>
      </c>
      <c r="D26" s="70" t="s">
        <v>82</v>
      </c>
      <c r="E26" s="68">
        <v>976</v>
      </c>
      <c r="F26" s="52">
        <v>976</v>
      </c>
      <c r="G26" s="50">
        <f t="shared" si="0"/>
        <v>73.2</v>
      </c>
      <c r="H26" s="50">
        <f t="shared" si="1"/>
        <v>139.07999999999998</v>
      </c>
      <c r="I26" s="51">
        <f t="shared" si="2"/>
        <v>11.299999999999999</v>
      </c>
      <c r="J26" s="52"/>
      <c r="K26" s="52">
        <v>0</v>
      </c>
      <c r="L26" s="53"/>
      <c r="M26" s="54">
        <f t="shared" si="3"/>
        <v>891.5</v>
      </c>
      <c r="N26" s="55">
        <f t="shared" si="4"/>
        <v>1115.08</v>
      </c>
      <c r="O26" s="33" t="s">
        <v>54</v>
      </c>
      <c r="P26" s="60" t="s">
        <v>113</v>
      </c>
      <c r="Q26" s="60" t="s">
        <v>114</v>
      </c>
      <c r="R26" s="61" t="s">
        <v>59</v>
      </c>
      <c r="S26" s="62">
        <v>329111</v>
      </c>
      <c r="T26" s="60" t="s">
        <v>56</v>
      </c>
    </row>
    <row r="27" spans="1:20" ht="15" thickBot="1" x14ac:dyDescent="0.25">
      <c r="A27" s="45">
        <v>23</v>
      </c>
      <c r="B27" s="45" t="s">
        <v>115</v>
      </c>
      <c r="C27" s="46" t="s">
        <v>116</v>
      </c>
      <c r="D27" s="70" t="s">
        <v>82</v>
      </c>
      <c r="E27" s="68">
        <v>1012</v>
      </c>
      <c r="F27" s="52">
        <v>1012</v>
      </c>
      <c r="G27" s="50">
        <f t="shared" si="0"/>
        <v>75.899999999999991</v>
      </c>
      <c r="H27" s="50">
        <f t="shared" si="1"/>
        <v>144.20999999999998</v>
      </c>
      <c r="I27" s="51">
        <f t="shared" si="2"/>
        <v>13.100000000000001</v>
      </c>
      <c r="J27" s="52"/>
      <c r="K27" s="52">
        <v>0</v>
      </c>
      <c r="L27" s="53"/>
      <c r="M27" s="54">
        <f t="shared" si="3"/>
        <v>923</v>
      </c>
      <c r="N27" s="55">
        <f t="shared" si="4"/>
        <v>1156.21</v>
      </c>
      <c r="O27" s="33" t="s">
        <v>54</v>
      </c>
      <c r="P27" s="60" t="s">
        <v>115</v>
      </c>
      <c r="Q27" s="60" t="s">
        <v>116</v>
      </c>
      <c r="R27" s="61" t="s">
        <v>59</v>
      </c>
      <c r="S27" s="62">
        <v>329111</v>
      </c>
      <c r="T27" s="60" t="s">
        <v>56</v>
      </c>
    </row>
    <row r="28" spans="1:20" x14ac:dyDescent="0.2">
      <c r="A28" s="63">
        <v>24</v>
      </c>
      <c r="B28" s="71" t="s">
        <v>117</v>
      </c>
      <c r="C28" s="46" t="s">
        <v>118</v>
      </c>
      <c r="D28" s="70" t="s">
        <v>97</v>
      </c>
      <c r="E28" s="68">
        <v>1000</v>
      </c>
      <c r="F28" s="52">
        <v>1000</v>
      </c>
      <c r="G28" s="50">
        <f t="shared" si="0"/>
        <v>75</v>
      </c>
      <c r="H28" s="50">
        <f t="shared" si="1"/>
        <v>142.5</v>
      </c>
      <c r="I28" s="51">
        <f t="shared" si="2"/>
        <v>12.5</v>
      </c>
      <c r="J28" s="52"/>
      <c r="K28" s="52">
        <v>0</v>
      </c>
      <c r="L28" s="53"/>
      <c r="M28" s="54">
        <f t="shared" si="3"/>
        <v>912.5</v>
      </c>
      <c r="N28" s="55">
        <f t="shared" si="4"/>
        <v>1142.5</v>
      </c>
      <c r="O28" s="33" t="s">
        <v>54</v>
      </c>
      <c r="P28" s="60" t="s">
        <v>117</v>
      </c>
      <c r="Q28" s="60" t="s">
        <v>118</v>
      </c>
      <c r="R28" s="61" t="s">
        <v>59</v>
      </c>
      <c r="S28" s="62">
        <v>323111</v>
      </c>
      <c r="T28" s="60" t="s">
        <v>56</v>
      </c>
    </row>
    <row r="29" spans="1:20" x14ac:dyDescent="0.2">
      <c r="A29" s="45">
        <v>25</v>
      </c>
      <c r="B29" s="71" t="s">
        <v>119</v>
      </c>
      <c r="C29" s="46" t="s">
        <v>120</v>
      </c>
      <c r="D29" s="70" t="s">
        <v>85</v>
      </c>
      <c r="E29" s="68">
        <v>1705</v>
      </c>
      <c r="F29" s="52">
        <v>1705</v>
      </c>
      <c r="G29" s="50">
        <f t="shared" si="0"/>
        <v>127.875</v>
      </c>
      <c r="H29" s="50">
        <f t="shared" si="1"/>
        <v>242.96249999999998</v>
      </c>
      <c r="I29" s="51">
        <f t="shared" si="2"/>
        <v>80.75</v>
      </c>
      <c r="J29" s="52"/>
      <c r="K29" s="52">
        <v>0</v>
      </c>
      <c r="L29" s="53"/>
      <c r="M29" s="54">
        <f t="shared" si="3"/>
        <v>1496.375</v>
      </c>
      <c r="N29" s="55">
        <f t="shared" si="4"/>
        <v>1947.9625000000001</v>
      </c>
      <c r="O29" s="33" t="s">
        <v>54</v>
      </c>
      <c r="P29" s="60" t="s">
        <v>119</v>
      </c>
      <c r="Q29" s="60" t="s">
        <v>120</v>
      </c>
      <c r="R29" s="61" t="s">
        <v>59</v>
      </c>
      <c r="S29" s="62">
        <v>323111</v>
      </c>
      <c r="T29" s="60" t="s">
        <v>56</v>
      </c>
    </row>
    <row r="30" spans="1:20" x14ac:dyDescent="0.2">
      <c r="A30" s="45">
        <v>26</v>
      </c>
      <c r="B30" s="71" t="s">
        <v>121</v>
      </c>
      <c r="C30" s="46" t="s">
        <v>122</v>
      </c>
      <c r="D30" s="70" t="s">
        <v>123</v>
      </c>
      <c r="E30" s="68">
        <v>1633</v>
      </c>
      <c r="F30" s="52">
        <v>1633</v>
      </c>
      <c r="G30" s="50">
        <f t="shared" si="0"/>
        <v>122.47499999999999</v>
      </c>
      <c r="H30" s="50">
        <f t="shared" si="1"/>
        <v>232.70249999999999</v>
      </c>
      <c r="I30" s="51">
        <f t="shared" si="2"/>
        <v>69.95</v>
      </c>
      <c r="J30" s="52"/>
      <c r="K30" s="52">
        <v>0</v>
      </c>
      <c r="L30" s="53"/>
      <c r="M30" s="54">
        <f t="shared" si="3"/>
        <v>1440.575</v>
      </c>
      <c r="N30" s="55">
        <f t="shared" si="4"/>
        <v>1865.7024999999999</v>
      </c>
      <c r="O30" s="33" t="s">
        <v>54</v>
      </c>
      <c r="P30" s="60" t="s">
        <v>121</v>
      </c>
      <c r="Q30" s="60" t="s">
        <v>122</v>
      </c>
      <c r="R30" s="61" t="s">
        <v>59</v>
      </c>
      <c r="S30" s="62">
        <v>323111</v>
      </c>
      <c r="T30" s="60" t="s">
        <v>56</v>
      </c>
    </row>
    <row r="31" spans="1:20" ht="15" thickBot="1" x14ac:dyDescent="0.25">
      <c r="A31" s="45">
        <v>27</v>
      </c>
      <c r="B31" s="71" t="s">
        <v>124</v>
      </c>
      <c r="C31" s="46" t="s">
        <v>125</v>
      </c>
      <c r="D31" s="70" t="s">
        <v>77</v>
      </c>
      <c r="E31" s="68">
        <v>1450</v>
      </c>
      <c r="F31" s="52">
        <v>1450</v>
      </c>
      <c r="G31" s="50">
        <f t="shared" si="0"/>
        <v>108.75</v>
      </c>
      <c r="H31" s="50">
        <f t="shared" si="1"/>
        <v>206.62499999999997</v>
      </c>
      <c r="I31" s="51">
        <f t="shared" si="2"/>
        <v>49.166666666666664</v>
      </c>
      <c r="J31" s="52"/>
      <c r="K31" s="52">
        <v>0</v>
      </c>
      <c r="L31" s="53"/>
      <c r="M31" s="54">
        <f t="shared" si="3"/>
        <v>1292.0833333333333</v>
      </c>
      <c r="N31" s="55">
        <f t="shared" si="4"/>
        <v>1656.625</v>
      </c>
      <c r="O31" s="33" t="s">
        <v>54</v>
      </c>
      <c r="P31" s="60" t="s">
        <v>124</v>
      </c>
      <c r="Q31" s="60" t="s">
        <v>125</v>
      </c>
      <c r="R31" s="61" t="s">
        <v>59</v>
      </c>
      <c r="S31" s="62">
        <v>323111</v>
      </c>
      <c r="T31" s="60" t="s">
        <v>56</v>
      </c>
    </row>
    <row r="32" spans="1:20" x14ac:dyDescent="0.2">
      <c r="A32" s="63">
        <v>28</v>
      </c>
      <c r="B32" s="71" t="s">
        <v>126</v>
      </c>
      <c r="C32" s="46" t="s">
        <v>127</v>
      </c>
      <c r="D32" s="70" t="s">
        <v>128</v>
      </c>
      <c r="E32" s="68">
        <v>615</v>
      </c>
      <c r="F32" s="52">
        <v>615</v>
      </c>
      <c r="G32" s="50">
        <f t="shared" si="0"/>
        <v>46.125</v>
      </c>
      <c r="H32" s="50">
        <f t="shared" si="1"/>
        <v>87.637499999999989</v>
      </c>
      <c r="I32" s="51">
        <f t="shared" si="2"/>
        <v>0</v>
      </c>
      <c r="J32" s="52"/>
      <c r="K32" s="52">
        <v>0</v>
      </c>
      <c r="L32" s="53"/>
      <c r="M32" s="54">
        <f t="shared" si="3"/>
        <v>568.875</v>
      </c>
      <c r="N32" s="55">
        <f t="shared" si="4"/>
        <v>702.63750000000005</v>
      </c>
      <c r="O32" s="33" t="s">
        <v>54</v>
      </c>
      <c r="P32" s="60" t="s">
        <v>126</v>
      </c>
      <c r="Q32" s="60" t="s">
        <v>127</v>
      </c>
      <c r="R32" s="61" t="s">
        <v>59</v>
      </c>
      <c r="S32" s="62">
        <v>325311</v>
      </c>
      <c r="T32" s="72" t="s">
        <v>56</v>
      </c>
    </row>
    <row r="33" spans="1:20" x14ac:dyDescent="0.2">
      <c r="A33" s="45">
        <v>29</v>
      </c>
      <c r="B33" s="71" t="s">
        <v>129</v>
      </c>
      <c r="C33" s="46" t="s">
        <v>130</v>
      </c>
      <c r="D33" s="70" t="s">
        <v>85</v>
      </c>
      <c r="E33" s="68">
        <v>1193</v>
      </c>
      <c r="F33" s="52">
        <v>1193</v>
      </c>
      <c r="G33" s="50">
        <f t="shared" si="0"/>
        <v>89.474999999999994</v>
      </c>
      <c r="H33" s="50">
        <f t="shared" si="1"/>
        <v>170.0025</v>
      </c>
      <c r="I33" s="51">
        <f t="shared" si="2"/>
        <v>23.466666666666669</v>
      </c>
      <c r="J33" s="52"/>
      <c r="K33" s="52">
        <v>0</v>
      </c>
      <c r="L33" s="53"/>
      <c r="M33" s="54">
        <f t="shared" si="3"/>
        <v>1080.0583333333334</v>
      </c>
      <c r="N33" s="55">
        <f t="shared" si="4"/>
        <v>1363.0025000000001</v>
      </c>
      <c r="O33" s="33" t="s">
        <v>54</v>
      </c>
      <c r="P33" s="60" t="s">
        <v>129</v>
      </c>
      <c r="Q33" s="60" t="s">
        <v>130</v>
      </c>
      <c r="R33" s="61" t="s">
        <v>59</v>
      </c>
      <c r="S33" s="62">
        <v>323111</v>
      </c>
      <c r="T33" s="60" t="s">
        <v>56</v>
      </c>
    </row>
    <row r="34" spans="1:20" x14ac:dyDescent="0.2">
      <c r="A34" s="45">
        <v>30</v>
      </c>
      <c r="B34" s="71" t="s">
        <v>131</v>
      </c>
      <c r="C34" s="46" t="s">
        <v>132</v>
      </c>
      <c r="D34" s="70" t="s">
        <v>133</v>
      </c>
      <c r="E34" s="68">
        <v>2272</v>
      </c>
      <c r="F34" s="52">
        <v>2272</v>
      </c>
      <c r="G34" s="50">
        <f t="shared" si="0"/>
        <v>170.4</v>
      </c>
      <c r="H34" s="50">
        <f t="shared" si="1"/>
        <v>323.76</v>
      </c>
      <c r="I34" s="51">
        <f t="shared" si="2"/>
        <v>179.4</v>
      </c>
      <c r="J34" s="52"/>
      <c r="K34" s="52">
        <v>0</v>
      </c>
      <c r="L34" s="53"/>
      <c r="M34" s="54">
        <f t="shared" si="3"/>
        <v>1922.2</v>
      </c>
      <c r="N34" s="55">
        <f t="shared" si="4"/>
        <v>2595.7600000000002</v>
      </c>
      <c r="O34" s="33" t="s">
        <v>54</v>
      </c>
      <c r="P34" s="60" t="s">
        <v>131</v>
      </c>
      <c r="Q34" s="60" t="s">
        <v>132</v>
      </c>
      <c r="R34" s="61" t="s">
        <v>59</v>
      </c>
      <c r="S34" s="62">
        <v>323111</v>
      </c>
      <c r="T34" s="60" t="s">
        <v>56</v>
      </c>
    </row>
    <row r="35" spans="1:20" ht="15" thickBot="1" x14ac:dyDescent="0.25">
      <c r="A35" s="45">
        <v>31</v>
      </c>
      <c r="B35" s="71" t="s">
        <v>134</v>
      </c>
      <c r="C35" s="46" t="s">
        <v>135</v>
      </c>
      <c r="D35" s="70" t="s">
        <v>136</v>
      </c>
      <c r="E35" s="68">
        <v>815</v>
      </c>
      <c r="F35" s="52">
        <v>815</v>
      </c>
      <c r="G35" s="50">
        <f t="shared" si="0"/>
        <v>61.125</v>
      </c>
      <c r="H35" s="50">
        <f t="shared" si="1"/>
        <v>116.13749999999999</v>
      </c>
      <c r="I35" s="51">
        <f t="shared" si="2"/>
        <v>3.25</v>
      </c>
      <c r="J35" s="52"/>
      <c r="K35" s="52">
        <v>0</v>
      </c>
      <c r="L35" s="53"/>
      <c r="M35" s="54">
        <f t="shared" si="3"/>
        <v>750.625</v>
      </c>
      <c r="N35" s="55">
        <f t="shared" si="4"/>
        <v>931.13750000000005</v>
      </c>
      <c r="O35" s="33" t="s">
        <v>54</v>
      </c>
      <c r="P35" s="60" t="s">
        <v>134</v>
      </c>
      <c r="Q35" s="60" t="s">
        <v>135</v>
      </c>
      <c r="R35" s="61" t="s">
        <v>137</v>
      </c>
      <c r="S35" s="62">
        <v>311311</v>
      </c>
      <c r="T35" s="60" t="s">
        <v>138</v>
      </c>
    </row>
    <row r="36" spans="1:20" x14ac:dyDescent="0.2">
      <c r="A36" s="63">
        <v>32</v>
      </c>
      <c r="B36" s="71" t="s">
        <v>139</v>
      </c>
      <c r="C36" s="46" t="s">
        <v>140</v>
      </c>
      <c r="D36" s="70" t="s">
        <v>65</v>
      </c>
      <c r="E36" s="68">
        <v>1022</v>
      </c>
      <c r="F36" s="52">
        <v>1022</v>
      </c>
      <c r="G36" s="50">
        <f t="shared" si="0"/>
        <v>76.649999999999991</v>
      </c>
      <c r="H36" s="50">
        <f t="shared" si="1"/>
        <v>145.63499999999999</v>
      </c>
      <c r="I36" s="51">
        <f t="shared" si="2"/>
        <v>0</v>
      </c>
      <c r="J36" s="52"/>
      <c r="K36" s="52">
        <v>0</v>
      </c>
      <c r="L36" s="53"/>
      <c r="M36" s="54">
        <f t="shared" si="3"/>
        <v>945.35</v>
      </c>
      <c r="N36" s="55">
        <f t="shared" si="4"/>
        <v>1167.635</v>
      </c>
      <c r="O36" s="33" t="s">
        <v>69</v>
      </c>
      <c r="P36" s="60" t="s">
        <v>139</v>
      </c>
      <c r="Q36" s="60" t="s">
        <v>140</v>
      </c>
      <c r="R36" s="61" t="s">
        <v>59</v>
      </c>
      <c r="S36" s="62">
        <v>323111</v>
      </c>
      <c r="T36" s="60" t="s">
        <v>56</v>
      </c>
    </row>
    <row r="37" spans="1:20" x14ac:dyDescent="0.2">
      <c r="A37" s="45">
        <v>33</v>
      </c>
      <c r="B37" s="71" t="s">
        <v>141</v>
      </c>
      <c r="C37" s="46" t="s">
        <v>142</v>
      </c>
      <c r="D37" s="70" t="s">
        <v>143</v>
      </c>
      <c r="E37" s="68">
        <v>2800</v>
      </c>
      <c r="F37" s="52">
        <v>2800</v>
      </c>
      <c r="G37" s="50">
        <f t="shared" si="0"/>
        <v>210</v>
      </c>
      <c r="H37" s="50">
        <f t="shared" si="1"/>
        <v>398.99999999999994</v>
      </c>
      <c r="I37" s="51">
        <f t="shared" si="2"/>
        <v>135</v>
      </c>
      <c r="J37" s="52"/>
      <c r="K37" s="52">
        <v>0</v>
      </c>
      <c r="L37" s="53"/>
      <c r="M37" s="54">
        <f t="shared" si="3"/>
        <v>2455</v>
      </c>
      <c r="N37" s="55">
        <f t="shared" si="4"/>
        <v>3199</v>
      </c>
      <c r="O37" s="33" t="s">
        <v>69</v>
      </c>
      <c r="P37" s="60" t="s">
        <v>141</v>
      </c>
      <c r="Q37" s="60" t="s">
        <v>142</v>
      </c>
      <c r="R37" s="61" t="s">
        <v>59</v>
      </c>
      <c r="S37" s="62">
        <v>323111</v>
      </c>
      <c r="T37" s="60" t="s">
        <v>56</v>
      </c>
    </row>
    <row r="38" spans="1:20" x14ac:dyDescent="0.2">
      <c r="A38" s="45">
        <v>34</v>
      </c>
      <c r="B38" s="71" t="s">
        <v>144</v>
      </c>
      <c r="C38" s="46" t="s">
        <v>145</v>
      </c>
      <c r="D38" s="70" t="s">
        <v>65</v>
      </c>
      <c r="E38" s="68">
        <v>1065</v>
      </c>
      <c r="F38" s="52">
        <v>1065</v>
      </c>
      <c r="G38" s="50">
        <f t="shared" si="0"/>
        <v>79.875</v>
      </c>
      <c r="H38" s="50">
        <f t="shared" si="1"/>
        <v>151.76249999999999</v>
      </c>
      <c r="I38" s="51">
        <f t="shared" si="2"/>
        <v>15.75</v>
      </c>
      <c r="J38" s="52"/>
      <c r="K38" s="52">
        <v>0</v>
      </c>
      <c r="L38" s="53"/>
      <c r="M38" s="54">
        <f t="shared" si="3"/>
        <v>969.375</v>
      </c>
      <c r="N38" s="55">
        <f t="shared" si="4"/>
        <v>1216.7625</v>
      </c>
      <c r="O38" s="33" t="s">
        <v>54</v>
      </c>
      <c r="P38" s="60" t="s">
        <v>144</v>
      </c>
      <c r="Q38" s="60" t="s">
        <v>145</v>
      </c>
      <c r="R38" s="61" t="s">
        <v>59</v>
      </c>
      <c r="S38" s="62">
        <v>323111</v>
      </c>
      <c r="T38" s="60" t="s">
        <v>56</v>
      </c>
    </row>
    <row r="39" spans="1:20" ht="15" thickBot="1" x14ac:dyDescent="0.25">
      <c r="A39" s="45">
        <v>35</v>
      </c>
      <c r="B39" s="71" t="s">
        <v>146</v>
      </c>
      <c r="C39" s="46" t="s">
        <v>147</v>
      </c>
      <c r="D39" s="70" t="s">
        <v>148</v>
      </c>
      <c r="E39" s="68">
        <v>1600</v>
      </c>
      <c r="F39" s="52">
        <v>1600</v>
      </c>
      <c r="G39" s="50">
        <f t="shared" si="0"/>
        <v>120</v>
      </c>
      <c r="H39" s="50">
        <f t="shared" si="1"/>
        <v>227.99999999999997</v>
      </c>
      <c r="I39" s="51">
        <f t="shared" si="2"/>
        <v>5</v>
      </c>
      <c r="J39" s="52"/>
      <c r="K39" s="52">
        <v>0</v>
      </c>
      <c r="L39" s="53"/>
      <c r="M39" s="54">
        <f t="shared" si="3"/>
        <v>1475</v>
      </c>
      <c r="N39" s="55">
        <f t="shared" si="4"/>
        <v>1828</v>
      </c>
      <c r="O39" s="33" t="s">
        <v>69</v>
      </c>
      <c r="P39" s="60" t="s">
        <v>146</v>
      </c>
      <c r="Q39" s="60" t="s">
        <v>147</v>
      </c>
      <c r="R39" s="61" t="s">
        <v>101</v>
      </c>
      <c r="S39" s="62">
        <v>349311</v>
      </c>
      <c r="T39" s="60" t="s">
        <v>102</v>
      </c>
    </row>
    <row r="40" spans="1:20" x14ac:dyDescent="0.2">
      <c r="A40" s="63">
        <v>36</v>
      </c>
      <c r="B40" s="71" t="s">
        <v>149</v>
      </c>
      <c r="C40" s="46" t="s">
        <v>150</v>
      </c>
      <c r="D40" s="70" t="s">
        <v>143</v>
      </c>
      <c r="E40" s="68">
        <v>2740</v>
      </c>
      <c r="F40" s="52">
        <v>2740</v>
      </c>
      <c r="G40" s="50">
        <f t="shared" si="0"/>
        <v>205.5</v>
      </c>
      <c r="H40" s="50">
        <f t="shared" si="1"/>
        <v>390.45</v>
      </c>
      <c r="I40" s="51">
        <f t="shared" si="2"/>
        <v>123.5</v>
      </c>
      <c r="J40" s="52"/>
      <c r="K40" s="52">
        <v>0</v>
      </c>
      <c r="L40" s="53"/>
      <c r="M40" s="54">
        <f t="shared" si="3"/>
        <v>2411</v>
      </c>
      <c r="N40" s="55">
        <f t="shared" si="4"/>
        <v>3130.45</v>
      </c>
      <c r="O40" s="33" t="s">
        <v>69</v>
      </c>
      <c r="P40" s="60" t="s">
        <v>149</v>
      </c>
      <c r="Q40" s="60" t="s">
        <v>150</v>
      </c>
      <c r="R40" s="61" t="s">
        <v>59</v>
      </c>
      <c r="S40" s="62">
        <v>323111</v>
      </c>
      <c r="T40" s="60" t="s">
        <v>56</v>
      </c>
    </row>
    <row r="41" spans="1:20" x14ac:dyDescent="0.2">
      <c r="A41" s="45">
        <v>37</v>
      </c>
      <c r="B41" s="71" t="s">
        <v>151</v>
      </c>
      <c r="C41" s="46" t="s">
        <v>152</v>
      </c>
      <c r="D41" s="70" t="s">
        <v>143</v>
      </c>
      <c r="E41" s="68">
        <v>2270</v>
      </c>
      <c r="F41" s="52">
        <v>2270</v>
      </c>
      <c r="G41" s="50">
        <f t="shared" si="0"/>
        <v>170.25</v>
      </c>
      <c r="H41" s="50">
        <f t="shared" si="1"/>
        <v>323.47499999999997</v>
      </c>
      <c r="I41" s="51">
        <f t="shared" si="2"/>
        <v>179</v>
      </c>
      <c r="J41" s="52"/>
      <c r="K41" s="52">
        <v>0</v>
      </c>
      <c r="L41" s="53"/>
      <c r="M41" s="54">
        <f t="shared" si="3"/>
        <v>1920.75</v>
      </c>
      <c r="N41" s="55">
        <f t="shared" si="4"/>
        <v>2593.4749999999999</v>
      </c>
      <c r="O41" s="33" t="s">
        <v>54</v>
      </c>
      <c r="P41" s="60" t="s">
        <v>151</v>
      </c>
      <c r="Q41" s="60" t="s">
        <v>152</v>
      </c>
      <c r="R41" s="61" t="s">
        <v>59</v>
      </c>
      <c r="S41" s="62">
        <v>323111</v>
      </c>
      <c r="T41" s="60" t="s">
        <v>56</v>
      </c>
    </row>
    <row r="42" spans="1:20" x14ac:dyDescent="0.2">
      <c r="A42" s="45">
        <v>38</v>
      </c>
      <c r="B42" s="71" t="s">
        <v>153</v>
      </c>
      <c r="C42" s="46" t="s">
        <v>154</v>
      </c>
      <c r="D42" s="70" t="s">
        <v>97</v>
      </c>
      <c r="E42" s="68">
        <v>900</v>
      </c>
      <c r="F42" s="52">
        <v>900</v>
      </c>
      <c r="G42" s="50">
        <f t="shared" si="0"/>
        <v>67.5</v>
      </c>
      <c r="H42" s="50">
        <f t="shared" si="1"/>
        <v>128.25</v>
      </c>
      <c r="I42" s="51">
        <f t="shared" si="2"/>
        <v>7.5</v>
      </c>
      <c r="J42" s="52"/>
      <c r="K42" s="52">
        <v>0</v>
      </c>
      <c r="L42" s="53"/>
      <c r="M42" s="54">
        <f t="shared" si="3"/>
        <v>825</v>
      </c>
      <c r="N42" s="55">
        <f t="shared" si="4"/>
        <v>1028.25</v>
      </c>
      <c r="O42" s="33" t="s">
        <v>54</v>
      </c>
      <c r="P42" s="60" t="s">
        <v>153</v>
      </c>
      <c r="Q42" s="60" t="s">
        <v>154</v>
      </c>
      <c r="R42" s="61" t="s">
        <v>59</v>
      </c>
      <c r="S42" s="62">
        <v>323111</v>
      </c>
      <c r="T42" s="60" t="s">
        <v>56</v>
      </c>
    </row>
    <row r="43" spans="1:20" ht="15" thickBot="1" x14ac:dyDescent="0.25">
      <c r="A43" s="45">
        <v>39</v>
      </c>
      <c r="B43" s="71" t="s">
        <v>155</v>
      </c>
      <c r="C43" s="46" t="s">
        <v>156</v>
      </c>
      <c r="D43" s="70" t="s">
        <v>157</v>
      </c>
      <c r="E43" s="69">
        <v>1193</v>
      </c>
      <c r="F43" s="49">
        <v>1193</v>
      </c>
      <c r="G43" s="50">
        <f t="shared" si="0"/>
        <v>89.474999999999994</v>
      </c>
      <c r="H43" s="50">
        <f t="shared" si="1"/>
        <v>170.0025</v>
      </c>
      <c r="I43" s="51">
        <f t="shared" si="2"/>
        <v>23.466666666666669</v>
      </c>
      <c r="J43" s="52"/>
      <c r="K43" s="52">
        <v>0</v>
      </c>
      <c r="L43" s="53"/>
      <c r="M43" s="54">
        <f t="shared" si="3"/>
        <v>1080.0583333333334</v>
      </c>
      <c r="N43" s="55">
        <f t="shared" si="4"/>
        <v>1363.0025000000001</v>
      </c>
      <c r="O43" s="33" t="s">
        <v>54</v>
      </c>
      <c r="P43" s="60" t="s">
        <v>155</v>
      </c>
      <c r="Q43" s="60" t="s">
        <v>156</v>
      </c>
      <c r="R43" s="61" t="s">
        <v>55</v>
      </c>
      <c r="S43" s="62">
        <v>325311</v>
      </c>
      <c r="T43" s="72" t="s">
        <v>56</v>
      </c>
    </row>
    <row r="44" spans="1:20" x14ac:dyDescent="0.2">
      <c r="A44" s="63">
        <v>40</v>
      </c>
      <c r="B44" s="71" t="s">
        <v>158</v>
      </c>
      <c r="C44" s="46" t="s">
        <v>159</v>
      </c>
      <c r="D44" s="70" t="s">
        <v>160</v>
      </c>
      <c r="E44" s="68">
        <v>900</v>
      </c>
      <c r="F44" s="52">
        <f>900</f>
        <v>900</v>
      </c>
      <c r="G44" s="50">
        <f t="shared" si="0"/>
        <v>67.5</v>
      </c>
      <c r="H44" s="50">
        <f t="shared" si="1"/>
        <v>128.25</v>
      </c>
      <c r="I44" s="51">
        <f t="shared" si="2"/>
        <v>7.5</v>
      </c>
      <c r="J44" s="52"/>
      <c r="K44" s="52">
        <v>0</v>
      </c>
      <c r="L44" s="53"/>
      <c r="M44" s="54">
        <f t="shared" si="3"/>
        <v>825</v>
      </c>
      <c r="N44" s="55">
        <f t="shared" si="4"/>
        <v>1028.25</v>
      </c>
      <c r="O44" s="33" t="s">
        <v>54</v>
      </c>
      <c r="P44" s="60" t="s">
        <v>158</v>
      </c>
      <c r="Q44" s="60" t="s">
        <v>159</v>
      </c>
      <c r="R44" s="61" t="s">
        <v>55</v>
      </c>
      <c r="S44" s="62">
        <v>323111</v>
      </c>
      <c r="T44" s="60" t="s">
        <v>56</v>
      </c>
    </row>
    <row r="45" spans="1:20" x14ac:dyDescent="0.2">
      <c r="A45" s="45">
        <v>41</v>
      </c>
      <c r="B45" s="71" t="s">
        <v>161</v>
      </c>
      <c r="C45" s="73" t="s">
        <v>162</v>
      </c>
      <c r="D45" s="70" t="s">
        <v>163</v>
      </c>
      <c r="E45" s="68">
        <v>450</v>
      </c>
      <c r="F45" s="52">
        <v>450</v>
      </c>
      <c r="G45" s="50">
        <f t="shared" si="0"/>
        <v>33.75</v>
      </c>
      <c r="H45" s="50">
        <f t="shared" si="1"/>
        <v>64.125</v>
      </c>
      <c r="I45" s="51">
        <f t="shared" si="2"/>
        <v>0</v>
      </c>
      <c r="J45" s="52"/>
      <c r="K45" s="52"/>
      <c r="L45" s="53"/>
      <c r="M45" s="54">
        <f t="shared" si="3"/>
        <v>416.25</v>
      </c>
      <c r="N45" s="55">
        <f t="shared" si="4"/>
        <v>514.125</v>
      </c>
      <c r="O45" s="33" t="s">
        <v>69</v>
      </c>
      <c r="P45" s="60" t="s">
        <v>161</v>
      </c>
      <c r="Q45" s="60" t="s">
        <v>162</v>
      </c>
      <c r="R45" s="61" t="s">
        <v>59</v>
      </c>
      <c r="S45" s="62">
        <v>134311</v>
      </c>
      <c r="T45" s="60" t="s">
        <v>164</v>
      </c>
    </row>
    <row r="46" spans="1:20" x14ac:dyDescent="0.2">
      <c r="A46" s="45">
        <v>42</v>
      </c>
      <c r="B46" s="71" t="s">
        <v>165</v>
      </c>
      <c r="C46" s="46" t="s">
        <v>166</v>
      </c>
      <c r="D46" s="70" t="s">
        <v>167</v>
      </c>
      <c r="E46" s="68">
        <v>1700</v>
      </c>
      <c r="F46" s="52">
        <v>1700</v>
      </c>
      <c r="G46" s="50">
        <f t="shared" si="0"/>
        <v>127.5</v>
      </c>
      <c r="H46" s="50">
        <f t="shared" si="1"/>
        <v>242.24999999999997</v>
      </c>
      <c r="I46" s="51">
        <f t="shared" si="2"/>
        <v>10</v>
      </c>
      <c r="J46" s="52"/>
      <c r="K46" s="52"/>
      <c r="L46" s="53"/>
      <c r="M46" s="54">
        <f t="shared" si="3"/>
        <v>1562.5</v>
      </c>
      <c r="N46" s="55">
        <f t="shared" si="4"/>
        <v>1942.25</v>
      </c>
      <c r="O46" s="33" t="s">
        <v>69</v>
      </c>
      <c r="P46" s="60" t="s">
        <v>165</v>
      </c>
      <c r="Q46" s="60" t="s">
        <v>166</v>
      </c>
      <c r="R46" s="61" t="s">
        <v>55</v>
      </c>
      <c r="S46" s="62">
        <v>323111</v>
      </c>
      <c r="T46" s="60" t="s">
        <v>56</v>
      </c>
    </row>
    <row r="47" spans="1:20" ht="15" thickBot="1" x14ac:dyDescent="0.25">
      <c r="A47" s="45">
        <v>43</v>
      </c>
      <c r="B47" s="71" t="s">
        <v>441</v>
      </c>
      <c r="C47" s="46" t="s">
        <v>442</v>
      </c>
      <c r="D47" s="70" t="s">
        <v>443</v>
      </c>
      <c r="E47" s="68">
        <v>480</v>
      </c>
      <c r="F47" s="52">
        <v>480</v>
      </c>
      <c r="G47" s="50">
        <f t="shared" si="0"/>
        <v>36</v>
      </c>
      <c r="H47" s="50">
        <f t="shared" si="1"/>
        <v>68.399999999999991</v>
      </c>
      <c r="I47" s="51">
        <f t="shared" si="2"/>
        <v>0</v>
      </c>
      <c r="J47" s="52"/>
      <c r="K47" s="52">
        <f>E47/22*4.5</f>
        <v>98.181818181818173</v>
      </c>
      <c r="L47" s="53"/>
      <c r="M47" s="54">
        <f t="shared" si="3"/>
        <v>542.18181818181813</v>
      </c>
      <c r="N47" s="55">
        <f t="shared" si="4"/>
        <v>548.4</v>
      </c>
      <c r="O47" s="33" t="s">
        <v>54</v>
      </c>
      <c r="P47" s="60" t="s">
        <v>441</v>
      </c>
      <c r="Q47" s="60" t="s">
        <v>442</v>
      </c>
      <c r="R47" s="61" t="s">
        <v>59</v>
      </c>
      <c r="S47" s="62">
        <v>329111</v>
      </c>
      <c r="T47" s="60" t="s">
        <v>56</v>
      </c>
    </row>
    <row r="48" spans="1:20" x14ac:dyDescent="0.2">
      <c r="A48" s="63">
        <v>44</v>
      </c>
      <c r="B48" s="71" t="s">
        <v>168</v>
      </c>
      <c r="C48" s="46" t="s">
        <v>169</v>
      </c>
      <c r="D48" s="70" t="s">
        <v>170</v>
      </c>
      <c r="E48" s="74">
        <v>350</v>
      </c>
      <c r="F48" s="52">
        <v>350</v>
      </c>
      <c r="G48" s="50">
        <f t="shared" si="0"/>
        <v>26.25</v>
      </c>
      <c r="H48" s="50">
        <f t="shared" si="1"/>
        <v>49.874999999999993</v>
      </c>
      <c r="I48" s="51">
        <f t="shared" si="2"/>
        <v>0</v>
      </c>
      <c r="J48" s="52"/>
      <c r="K48" s="52"/>
      <c r="L48" s="53"/>
      <c r="M48" s="54">
        <f t="shared" si="3"/>
        <v>323.75</v>
      </c>
      <c r="N48" s="55">
        <f t="shared" si="4"/>
        <v>399.875</v>
      </c>
      <c r="O48" s="33" t="s">
        <v>54</v>
      </c>
      <c r="P48" s="60" t="s">
        <v>168</v>
      </c>
      <c r="Q48" s="60" t="s">
        <v>169</v>
      </c>
      <c r="R48" s="61" t="s">
        <v>55</v>
      </c>
      <c r="S48" s="62">
        <v>325311</v>
      </c>
      <c r="T48" s="72" t="s">
        <v>56</v>
      </c>
    </row>
    <row r="49" spans="1:22" x14ac:dyDescent="0.2">
      <c r="A49" s="45">
        <v>45</v>
      </c>
      <c r="B49" s="71" t="s">
        <v>171</v>
      </c>
      <c r="C49" s="46" t="s">
        <v>172</v>
      </c>
      <c r="D49" s="75" t="s">
        <v>53</v>
      </c>
      <c r="E49" s="74">
        <v>700</v>
      </c>
      <c r="F49" s="52">
        <v>700</v>
      </c>
      <c r="G49" s="50">
        <f t="shared" si="0"/>
        <v>52.5</v>
      </c>
      <c r="H49" s="50">
        <f t="shared" si="1"/>
        <v>99.749999999999986</v>
      </c>
      <c r="I49" s="51">
        <f t="shared" si="2"/>
        <v>0</v>
      </c>
      <c r="J49" s="52"/>
      <c r="K49" s="52"/>
      <c r="L49" s="53"/>
      <c r="M49" s="54">
        <f t="shared" si="3"/>
        <v>647.5</v>
      </c>
      <c r="N49" s="55">
        <f t="shared" si="4"/>
        <v>799.75</v>
      </c>
      <c r="O49" s="33" t="s">
        <v>54</v>
      </c>
      <c r="P49" s="60" t="s">
        <v>171</v>
      </c>
      <c r="Q49" s="60" t="s">
        <v>172</v>
      </c>
      <c r="R49" s="61" t="s">
        <v>59</v>
      </c>
      <c r="S49" s="62">
        <v>329111</v>
      </c>
      <c r="T49" s="60" t="s">
        <v>56</v>
      </c>
    </row>
    <row r="50" spans="1:22" x14ac:dyDescent="0.2">
      <c r="A50" s="45">
        <v>46</v>
      </c>
      <c r="B50" s="71" t="s">
        <v>173</v>
      </c>
      <c r="C50" s="46" t="s">
        <v>174</v>
      </c>
      <c r="D50" s="75" t="s">
        <v>175</v>
      </c>
      <c r="E50" s="74">
        <v>2300</v>
      </c>
      <c r="F50" s="52">
        <v>2300</v>
      </c>
      <c r="G50" s="50">
        <f t="shared" si="0"/>
        <v>172.5</v>
      </c>
      <c r="H50" s="50">
        <f t="shared" si="1"/>
        <v>327.75</v>
      </c>
      <c r="I50" s="51">
        <f t="shared" si="2"/>
        <v>185</v>
      </c>
      <c r="J50" s="52"/>
      <c r="K50" s="52"/>
      <c r="L50" s="53"/>
      <c r="M50" s="54">
        <f t="shared" si="3"/>
        <v>1942.5</v>
      </c>
      <c r="N50" s="55">
        <f t="shared" si="4"/>
        <v>2627.75</v>
      </c>
      <c r="O50" s="33" t="s">
        <v>54</v>
      </c>
      <c r="P50" s="60" t="s">
        <v>176</v>
      </c>
      <c r="Q50" s="60" t="s">
        <v>174</v>
      </c>
      <c r="R50" s="61" t="s">
        <v>59</v>
      </c>
      <c r="S50" s="62">
        <v>111111</v>
      </c>
      <c r="T50" s="60" t="s">
        <v>177</v>
      </c>
    </row>
    <row r="51" spans="1:22" ht="15" thickBot="1" x14ac:dyDescent="0.25">
      <c r="A51" s="45">
        <v>47</v>
      </c>
      <c r="B51" s="71" t="s">
        <v>178</v>
      </c>
      <c r="C51" s="46" t="s">
        <v>179</v>
      </c>
      <c r="D51" s="76" t="s">
        <v>180</v>
      </c>
      <c r="E51" s="74">
        <v>480</v>
      </c>
      <c r="F51" s="52">
        <v>480</v>
      </c>
      <c r="G51" s="50">
        <f t="shared" si="0"/>
        <v>36</v>
      </c>
      <c r="H51" s="50">
        <f t="shared" si="1"/>
        <v>68.399999999999991</v>
      </c>
      <c r="I51" s="51">
        <f t="shared" si="2"/>
        <v>0</v>
      </c>
      <c r="J51" s="52"/>
      <c r="K51" s="52"/>
      <c r="L51" s="53"/>
      <c r="M51" s="54">
        <f t="shared" si="3"/>
        <v>444</v>
      </c>
      <c r="N51" s="55">
        <f t="shared" si="4"/>
        <v>548.4</v>
      </c>
      <c r="O51" s="33" t="s">
        <v>54</v>
      </c>
      <c r="P51" s="60" t="s">
        <v>178</v>
      </c>
      <c r="Q51" s="60" t="s">
        <v>179</v>
      </c>
      <c r="R51" s="61" t="s">
        <v>59</v>
      </c>
      <c r="S51" s="62">
        <v>329111</v>
      </c>
      <c r="T51" s="60" t="s">
        <v>56</v>
      </c>
    </row>
    <row r="52" spans="1:22" x14ac:dyDescent="0.2">
      <c r="A52" s="63">
        <v>48</v>
      </c>
      <c r="B52" s="71" t="s">
        <v>181</v>
      </c>
      <c r="C52" s="46" t="s">
        <v>182</v>
      </c>
      <c r="D52" s="76" t="s">
        <v>183</v>
      </c>
      <c r="E52" s="74">
        <v>2000</v>
      </c>
      <c r="F52" s="52">
        <v>2000</v>
      </c>
      <c r="G52" s="50">
        <f t="shared" si="0"/>
        <v>150</v>
      </c>
      <c r="H52" s="50">
        <f t="shared" si="1"/>
        <v>285</v>
      </c>
      <c r="I52" s="51">
        <f t="shared" si="2"/>
        <v>125</v>
      </c>
      <c r="J52" s="52"/>
      <c r="K52" s="52"/>
      <c r="L52" s="53"/>
      <c r="M52" s="54">
        <f t="shared" si="3"/>
        <v>1725</v>
      </c>
      <c r="N52" s="55">
        <f t="shared" si="4"/>
        <v>2285</v>
      </c>
      <c r="O52" s="33" t="s">
        <v>54</v>
      </c>
      <c r="P52" s="60" t="s">
        <v>181</v>
      </c>
      <c r="Q52" s="60" t="s">
        <v>182</v>
      </c>
      <c r="R52" s="61" t="s">
        <v>59</v>
      </c>
      <c r="S52" s="62">
        <v>323111</v>
      </c>
      <c r="T52" s="60" t="s">
        <v>56</v>
      </c>
    </row>
    <row r="53" spans="1:22" x14ac:dyDescent="0.2">
      <c r="A53" s="45">
        <v>49</v>
      </c>
      <c r="B53" s="71" t="s">
        <v>184</v>
      </c>
      <c r="C53" s="46" t="s">
        <v>185</v>
      </c>
      <c r="D53" s="75" t="s">
        <v>186</v>
      </c>
      <c r="E53" s="74">
        <v>816</v>
      </c>
      <c r="F53" s="52">
        <v>816</v>
      </c>
      <c r="G53" s="50">
        <f t="shared" si="0"/>
        <v>61.199999999999996</v>
      </c>
      <c r="H53" s="50">
        <f t="shared" si="1"/>
        <v>116.27999999999999</v>
      </c>
      <c r="I53" s="51">
        <f t="shared" si="2"/>
        <v>3.3000000000000003</v>
      </c>
      <c r="J53" s="52"/>
      <c r="K53" s="52"/>
      <c r="L53" s="53"/>
      <c r="M53" s="54">
        <f t="shared" si="3"/>
        <v>751.5</v>
      </c>
      <c r="N53" s="55">
        <f t="shared" si="4"/>
        <v>932.28</v>
      </c>
      <c r="O53" s="33" t="s">
        <v>54</v>
      </c>
      <c r="P53" s="60" t="s">
        <v>184</v>
      </c>
      <c r="Q53" s="60" t="s">
        <v>185</v>
      </c>
      <c r="R53" s="61" t="s">
        <v>59</v>
      </c>
      <c r="S53" s="62">
        <v>329111</v>
      </c>
      <c r="T53" s="60" t="s">
        <v>56</v>
      </c>
    </row>
    <row r="54" spans="1:22" x14ac:dyDescent="0.2">
      <c r="A54" s="45">
        <v>50</v>
      </c>
      <c r="B54" s="71" t="s">
        <v>187</v>
      </c>
      <c r="C54" s="46" t="s">
        <v>188</v>
      </c>
      <c r="D54" s="75" t="s">
        <v>189</v>
      </c>
      <c r="E54" s="74">
        <v>600</v>
      </c>
      <c r="F54" s="52">
        <v>600</v>
      </c>
      <c r="G54" s="50">
        <f t="shared" si="0"/>
        <v>45</v>
      </c>
      <c r="H54" s="50">
        <f t="shared" si="1"/>
        <v>85.499999999999986</v>
      </c>
      <c r="I54" s="51">
        <f t="shared" si="2"/>
        <v>0</v>
      </c>
      <c r="J54" s="52"/>
      <c r="K54" s="52"/>
      <c r="L54" s="53"/>
      <c r="M54" s="54">
        <f t="shared" si="3"/>
        <v>555</v>
      </c>
      <c r="N54" s="55">
        <f t="shared" si="4"/>
        <v>685.5</v>
      </c>
      <c r="O54" s="33" t="s">
        <v>54</v>
      </c>
      <c r="P54" s="60" t="s">
        <v>187</v>
      </c>
      <c r="Q54" s="60" t="s">
        <v>188</v>
      </c>
      <c r="R54" s="61" t="s">
        <v>59</v>
      </c>
      <c r="S54" s="62">
        <v>131111</v>
      </c>
      <c r="T54" s="60" t="s">
        <v>164</v>
      </c>
    </row>
    <row r="55" spans="1:22" ht="15" thickBot="1" x14ac:dyDescent="0.25">
      <c r="A55" s="45">
        <v>51</v>
      </c>
      <c r="B55" s="71" t="s">
        <v>190</v>
      </c>
      <c r="C55" s="46" t="s">
        <v>191</v>
      </c>
      <c r="D55" s="75" t="s">
        <v>186</v>
      </c>
      <c r="E55" s="74">
        <v>900</v>
      </c>
      <c r="F55" s="52">
        <v>900</v>
      </c>
      <c r="G55" s="50">
        <f t="shared" si="0"/>
        <v>67.5</v>
      </c>
      <c r="H55" s="50">
        <f t="shared" si="1"/>
        <v>128.25</v>
      </c>
      <c r="I55" s="51">
        <f t="shared" si="2"/>
        <v>7.5</v>
      </c>
      <c r="J55" s="52"/>
      <c r="K55" s="52">
        <v>0</v>
      </c>
      <c r="L55" s="53"/>
      <c r="M55" s="54">
        <f t="shared" si="3"/>
        <v>825</v>
      </c>
      <c r="N55" s="55">
        <f t="shared" si="4"/>
        <v>1028.25</v>
      </c>
      <c r="O55" s="33" t="s">
        <v>54</v>
      </c>
      <c r="P55" s="60" t="s">
        <v>190</v>
      </c>
      <c r="Q55" s="60" t="s">
        <v>191</v>
      </c>
      <c r="R55" s="61" t="s">
        <v>59</v>
      </c>
      <c r="S55" s="62">
        <v>329111</v>
      </c>
      <c r="T55" s="60" t="s">
        <v>56</v>
      </c>
    </row>
    <row r="56" spans="1:22" x14ac:dyDescent="0.2">
      <c r="A56" s="63">
        <v>52</v>
      </c>
      <c r="B56" s="71" t="s">
        <v>192</v>
      </c>
      <c r="C56" s="46" t="s">
        <v>193</v>
      </c>
      <c r="D56" s="75" t="s">
        <v>194</v>
      </c>
      <c r="E56" s="74">
        <v>1843</v>
      </c>
      <c r="F56" s="52">
        <v>1843</v>
      </c>
      <c r="G56" s="50">
        <f t="shared" si="0"/>
        <v>138.22499999999999</v>
      </c>
      <c r="H56" s="50">
        <f t="shared" si="1"/>
        <v>262.6275</v>
      </c>
      <c r="I56" s="51">
        <f t="shared" si="2"/>
        <v>101.45</v>
      </c>
      <c r="J56" s="52"/>
      <c r="K56" s="52"/>
      <c r="L56" s="53"/>
      <c r="M56" s="54">
        <f t="shared" si="3"/>
        <v>1603.325</v>
      </c>
      <c r="N56" s="55">
        <f t="shared" si="4"/>
        <v>2105.6275000000001</v>
      </c>
      <c r="O56" s="33" t="s">
        <v>54</v>
      </c>
      <c r="P56" s="60" t="s">
        <v>192</v>
      </c>
      <c r="Q56" s="60" t="s">
        <v>193</v>
      </c>
      <c r="R56" s="61" t="s">
        <v>59</v>
      </c>
      <c r="S56" s="62">
        <v>323111</v>
      </c>
      <c r="T56" s="60" t="s">
        <v>56</v>
      </c>
    </row>
    <row r="57" spans="1:22" x14ac:dyDescent="0.2">
      <c r="A57" s="45">
        <v>53</v>
      </c>
      <c r="B57" s="71" t="s">
        <v>195</v>
      </c>
      <c r="C57" s="46" t="s">
        <v>196</v>
      </c>
      <c r="D57" s="75" t="s">
        <v>186</v>
      </c>
      <c r="E57" s="74">
        <v>945</v>
      </c>
      <c r="F57" s="52">
        <v>945</v>
      </c>
      <c r="G57" s="50">
        <f t="shared" si="0"/>
        <v>70.875</v>
      </c>
      <c r="H57" s="50">
        <f t="shared" si="1"/>
        <v>134.66249999999999</v>
      </c>
      <c r="I57" s="51">
        <f t="shared" si="2"/>
        <v>9.75</v>
      </c>
      <c r="J57" s="52"/>
      <c r="K57" s="52"/>
      <c r="L57" s="53"/>
      <c r="M57" s="54">
        <f t="shared" si="3"/>
        <v>864.375</v>
      </c>
      <c r="N57" s="55">
        <f t="shared" si="4"/>
        <v>1079.6624999999999</v>
      </c>
      <c r="O57" s="33" t="s">
        <v>54</v>
      </c>
      <c r="P57" s="60" t="s">
        <v>195</v>
      </c>
      <c r="Q57" s="60" t="s">
        <v>196</v>
      </c>
      <c r="R57" s="61" t="s">
        <v>59</v>
      </c>
      <c r="S57" s="62">
        <v>329111</v>
      </c>
      <c r="T57" s="60" t="s">
        <v>56</v>
      </c>
    </row>
    <row r="58" spans="1:22" x14ac:dyDescent="0.2">
      <c r="A58" s="45">
        <v>54</v>
      </c>
      <c r="B58" s="71" t="s">
        <v>197</v>
      </c>
      <c r="C58" s="46" t="s">
        <v>198</v>
      </c>
      <c r="D58" s="75" t="s">
        <v>199</v>
      </c>
      <c r="E58" s="74">
        <v>1420</v>
      </c>
      <c r="F58" s="52">
        <v>1420</v>
      </c>
      <c r="G58" s="50">
        <f t="shared" si="0"/>
        <v>106.5</v>
      </c>
      <c r="H58" s="50">
        <f t="shared" si="1"/>
        <v>202.35</v>
      </c>
      <c r="I58" s="51">
        <f t="shared" si="2"/>
        <v>46.166666666666664</v>
      </c>
      <c r="J58" s="52"/>
      <c r="K58" s="52"/>
      <c r="L58" s="53"/>
      <c r="M58" s="54">
        <f t="shared" si="3"/>
        <v>1267.3333333333333</v>
      </c>
      <c r="N58" s="55">
        <f t="shared" si="4"/>
        <v>1622.35</v>
      </c>
      <c r="O58" s="33" t="s">
        <v>54</v>
      </c>
      <c r="P58" s="60" t="s">
        <v>197</v>
      </c>
      <c r="Q58" s="60" t="s">
        <v>198</v>
      </c>
      <c r="R58" s="61" t="s">
        <v>55</v>
      </c>
      <c r="S58" s="62">
        <v>323111</v>
      </c>
      <c r="T58" s="60" t="s">
        <v>56</v>
      </c>
    </row>
    <row r="59" spans="1:22" ht="15" thickBot="1" x14ac:dyDescent="0.25">
      <c r="A59" s="45">
        <v>55</v>
      </c>
      <c r="B59" s="71" t="s">
        <v>200</v>
      </c>
      <c r="C59" s="46" t="s">
        <v>201</v>
      </c>
      <c r="D59" s="75" t="s">
        <v>133</v>
      </c>
      <c r="E59" s="74">
        <v>1846</v>
      </c>
      <c r="F59" s="74">
        <v>1846</v>
      </c>
      <c r="G59" s="50">
        <f t="shared" si="0"/>
        <v>138.44999999999999</v>
      </c>
      <c r="H59" s="50">
        <f t="shared" si="1"/>
        <v>263.05499999999995</v>
      </c>
      <c r="I59" s="51">
        <f t="shared" si="2"/>
        <v>17.3</v>
      </c>
      <c r="J59" s="52"/>
      <c r="K59" s="52"/>
      <c r="L59" s="53"/>
      <c r="M59" s="54">
        <f t="shared" si="3"/>
        <v>1690.25</v>
      </c>
      <c r="N59" s="55">
        <f t="shared" si="4"/>
        <v>2109.0549999999998</v>
      </c>
      <c r="O59" s="33" t="s">
        <v>69</v>
      </c>
      <c r="P59" s="60" t="s">
        <v>200</v>
      </c>
      <c r="Q59" s="60" t="s">
        <v>201</v>
      </c>
      <c r="R59" s="61" t="s">
        <v>59</v>
      </c>
      <c r="S59" s="62">
        <v>323111</v>
      </c>
      <c r="T59" s="60" t="s">
        <v>56</v>
      </c>
    </row>
    <row r="60" spans="1:22" x14ac:dyDescent="0.2">
      <c r="A60" s="63">
        <v>56</v>
      </c>
      <c r="B60" s="71" t="s">
        <v>202</v>
      </c>
      <c r="C60" s="46" t="s">
        <v>203</v>
      </c>
      <c r="D60" s="76" t="s">
        <v>204</v>
      </c>
      <c r="E60" s="74">
        <v>320</v>
      </c>
      <c r="F60" s="52">
        <v>320</v>
      </c>
      <c r="G60" s="50">
        <f t="shared" si="0"/>
        <v>24</v>
      </c>
      <c r="H60" s="50">
        <f t="shared" si="1"/>
        <v>45.599999999999994</v>
      </c>
      <c r="I60" s="51">
        <f t="shared" si="2"/>
        <v>0</v>
      </c>
      <c r="J60" s="52"/>
      <c r="K60" s="52"/>
      <c r="L60" s="53"/>
      <c r="M60" s="54">
        <f t="shared" si="3"/>
        <v>296</v>
      </c>
      <c r="N60" s="55">
        <f t="shared" si="4"/>
        <v>365.6</v>
      </c>
      <c r="O60" s="33" t="s">
        <v>54</v>
      </c>
      <c r="P60" s="60" t="s">
        <v>202</v>
      </c>
      <c r="Q60" s="60" t="s">
        <v>203</v>
      </c>
      <c r="R60" s="61" t="s">
        <v>59</v>
      </c>
      <c r="S60" s="77">
        <v>326111</v>
      </c>
      <c r="T60" s="60" t="s">
        <v>56</v>
      </c>
    </row>
    <row r="61" spans="1:22" x14ac:dyDescent="0.2">
      <c r="A61" s="45">
        <v>57</v>
      </c>
      <c r="B61" s="71" t="s">
        <v>205</v>
      </c>
      <c r="C61" s="46" t="s">
        <v>206</v>
      </c>
      <c r="D61" s="78" t="s">
        <v>207</v>
      </c>
      <c r="E61" s="79">
        <v>1562</v>
      </c>
      <c r="F61" s="52">
        <v>1562</v>
      </c>
      <c r="G61" s="50">
        <f t="shared" si="0"/>
        <v>117.14999999999999</v>
      </c>
      <c r="H61" s="50">
        <f t="shared" si="1"/>
        <v>222.58499999999998</v>
      </c>
      <c r="I61" s="51">
        <f t="shared" si="2"/>
        <v>60.366666666666674</v>
      </c>
      <c r="J61" s="52"/>
      <c r="K61" s="52"/>
      <c r="L61" s="53"/>
      <c r="M61" s="54">
        <f t="shared" si="3"/>
        <v>1384.4833333333333</v>
      </c>
      <c r="N61" s="55">
        <f t="shared" si="4"/>
        <v>1784.585</v>
      </c>
      <c r="O61" s="33" t="s">
        <v>54</v>
      </c>
      <c r="P61" s="60" t="s">
        <v>205</v>
      </c>
      <c r="Q61" s="60" t="s">
        <v>206</v>
      </c>
      <c r="R61" s="61" t="s">
        <v>59</v>
      </c>
      <c r="S61" s="77">
        <v>329111</v>
      </c>
      <c r="T61" s="60" t="s">
        <v>56</v>
      </c>
      <c r="U61">
        <v>1948.9433333333334</v>
      </c>
      <c r="V61">
        <f>U61-M61</f>
        <v>564.46</v>
      </c>
    </row>
    <row r="62" spans="1:22" x14ac:dyDescent="0.2">
      <c r="A62" s="45">
        <v>58</v>
      </c>
      <c r="B62" s="71" t="s">
        <v>208</v>
      </c>
      <c r="C62" s="46" t="s">
        <v>209</v>
      </c>
      <c r="D62" s="76" t="s">
        <v>210</v>
      </c>
      <c r="E62" s="74">
        <v>2980</v>
      </c>
      <c r="F62" s="52">
        <v>2980</v>
      </c>
      <c r="G62" s="50">
        <f t="shared" si="0"/>
        <v>223.5</v>
      </c>
      <c r="H62" s="50">
        <f t="shared" si="1"/>
        <v>424.65</v>
      </c>
      <c r="I62" s="51">
        <f t="shared" si="2"/>
        <v>171</v>
      </c>
      <c r="J62" s="52"/>
      <c r="K62" s="52"/>
      <c r="L62" s="53"/>
      <c r="M62" s="54">
        <f t="shared" si="3"/>
        <v>2585.5</v>
      </c>
      <c r="N62" s="55">
        <f t="shared" si="4"/>
        <v>3404.65</v>
      </c>
      <c r="O62" s="33" t="s">
        <v>69</v>
      </c>
      <c r="P62" s="60" t="s">
        <v>208</v>
      </c>
      <c r="Q62" s="60" t="s">
        <v>209</v>
      </c>
      <c r="R62" s="61" t="s">
        <v>59</v>
      </c>
      <c r="S62" s="77">
        <v>329111</v>
      </c>
      <c r="T62" s="60" t="s">
        <v>56</v>
      </c>
    </row>
    <row r="63" spans="1:22" ht="15" thickBot="1" x14ac:dyDescent="0.25">
      <c r="A63" s="45">
        <v>59</v>
      </c>
      <c r="B63" s="71" t="s">
        <v>211</v>
      </c>
      <c r="C63" s="46" t="s">
        <v>212</v>
      </c>
      <c r="D63" s="76" t="s">
        <v>213</v>
      </c>
      <c r="E63" s="74">
        <v>1350</v>
      </c>
      <c r="F63" s="52">
        <v>1350</v>
      </c>
      <c r="G63" s="50">
        <f t="shared" si="0"/>
        <v>101.25</v>
      </c>
      <c r="H63" s="50">
        <f t="shared" si="1"/>
        <v>192.37499999999997</v>
      </c>
      <c r="I63" s="51">
        <f t="shared" si="2"/>
        <v>39.166666666666664</v>
      </c>
      <c r="J63" s="52"/>
      <c r="K63" s="52"/>
      <c r="L63" s="53"/>
      <c r="M63" s="54">
        <f t="shared" si="3"/>
        <v>1209.5833333333333</v>
      </c>
      <c r="N63" s="55">
        <f t="shared" si="4"/>
        <v>1542.375</v>
      </c>
      <c r="O63" s="33" t="s">
        <v>54</v>
      </c>
      <c r="P63" s="60" t="s">
        <v>211</v>
      </c>
      <c r="Q63" s="60" t="s">
        <v>212</v>
      </c>
      <c r="R63" s="61" t="s">
        <v>59</v>
      </c>
      <c r="S63" s="77">
        <v>329111</v>
      </c>
      <c r="T63" s="60" t="s">
        <v>56</v>
      </c>
    </row>
    <row r="64" spans="1:22" x14ac:dyDescent="0.2">
      <c r="A64" s="63">
        <v>60</v>
      </c>
      <c r="B64" s="71" t="s">
        <v>214</v>
      </c>
      <c r="C64" s="46" t="s">
        <v>215</v>
      </c>
      <c r="D64" s="76" t="s">
        <v>216</v>
      </c>
      <c r="E64" s="74">
        <v>1846</v>
      </c>
      <c r="F64" s="52">
        <v>1846</v>
      </c>
      <c r="G64" s="50">
        <f t="shared" si="0"/>
        <v>138.44999999999999</v>
      </c>
      <c r="H64" s="50">
        <f t="shared" si="1"/>
        <v>263.05499999999995</v>
      </c>
      <c r="I64" s="51">
        <f t="shared" si="2"/>
        <v>101.89999999999999</v>
      </c>
      <c r="J64" s="52"/>
      <c r="K64" s="52"/>
      <c r="L64" s="53"/>
      <c r="M64" s="54">
        <f t="shared" si="3"/>
        <v>1605.65</v>
      </c>
      <c r="N64" s="55">
        <f t="shared" si="4"/>
        <v>2109.0549999999998</v>
      </c>
      <c r="O64" s="33" t="s">
        <v>54</v>
      </c>
      <c r="P64" s="60" t="s">
        <v>214</v>
      </c>
      <c r="Q64" s="60" t="s">
        <v>215</v>
      </c>
      <c r="R64" s="61" t="s">
        <v>55</v>
      </c>
      <c r="S64" s="77">
        <v>325311</v>
      </c>
      <c r="T64" s="60" t="s">
        <v>56</v>
      </c>
    </row>
    <row r="65" spans="1:20" x14ac:dyDescent="0.2">
      <c r="A65" s="45">
        <v>61</v>
      </c>
      <c r="B65" s="71" t="s">
        <v>217</v>
      </c>
      <c r="C65" s="46" t="s">
        <v>218</v>
      </c>
      <c r="D65" s="76" t="s">
        <v>219</v>
      </c>
      <c r="E65" s="74">
        <v>1275</v>
      </c>
      <c r="F65" s="52">
        <v>1275</v>
      </c>
      <c r="G65" s="50">
        <f t="shared" si="0"/>
        <v>95.625</v>
      </c>
      <c r="H65" s="50">
        <f t="shared" si="1"/>
        <v>181.68749999999997</v>
      </c>
      <c r="I65" s="51">
        <f t="shared" si="2"/>
        <v>31.666666666666668</v>
      </c>
      <c r="J65" s="52"/>
      <c r="K65" s="52"/>
      <c r="L65" s="53"/>
      <c r="M65" s="54">
        <f t="shared" si="3"/>
        <v>1147.7083333333333</v>
      </c>
      <c r="N65" s="55">
        <f t="shared" si="4"/>
        <v>1456.6875</v>
      </c>
      <c r="O65" s="33" t="s">
        <v>54</v>
      </c>
      <c r="P65" s="60" t="s">
        <v>217</v>
      </c>
      <c r="Q65" s="60" t="s">
        <v>218</v>
      </c>
      <c r="R65" s="61" t="s">
        <v>55</v>
      </c>
      <c r="S65" s="77">
        <v>325311</v>
      </c>
      <c r="T65" s="60" t="s">
        <v>56</v>
      </c>
    </row>
    <row r="66" spans="1:20" x14ac:dyDescent="0.2">
      <c r="A66" s="45">
        <v>62</v>
      </c>
      <c r="B66" s="71" t="s">
        <v>220</v>
      </c>
      <c r="C66" s="46" t="s">
        <v>221</v>
      </c>
      <c r="D66" s="76" t="s">
        <v>222</v>
      </c>
      <c r="E66" s="74">
        <v>2485</v>
      </c>
      <c r="F66" s="52">
        <v>2485</v>
      </c>
      <c r="G66" s="50">
        <f t="shared" si="0"/>
        <v>186.375</v>
      </c>
      <c r="H66" s="50">
        <f t="shared" si="1"/>
        <v>354.11249999999995</v>
      </c>
      <c r="I66" s="51">
        <f t="shared" si="2"/>
        <v>225.41666666666666</v>
      </c>
      <c r="J66" s="52"/>
      <c r="K66" s="52"/>
      <c r="L66" s="53"/>
      <c r="M66" s="54">
        <f t="shared" si="3"/>
        <v>2073.2083333333335</v>
      </c>
      <c r="N66" s="55">
        <f t="shared" si="4"/>
        <v>2839.1125000000002</v>
      </c>
      <c r="O66" s="33" t="s">
        <v>54</v>
      </c>
      <c r="P66" s="60" t="s">
        <v>220</v>
      </c>
      <c r="Q66" s="60" t="s">
        <v>221</v>
      </c>
      <c r="R66" s="61" t="s">
        <v>223</v>
      </c>
      <c r="S66" s="77">
        <v>323111</v>
      </c>
      <c r="T66" s="60" t="s">
        <v>56</v>
      </c>
    </row>
    <row r="67" spans="1:20" ht="15" thickBot="1" x14ac:dyDescent="0.25">
      <c r="A67" s="45">
        <v>63</v>
      </c>
      <c r="B67" s="71" t="s">
        <v>224</v>
      </c>
      <c r="C67" s="46" t="s">
        <v>225</v>
      </c>
      <c r="D67" s="76" t="s">
        <v>226</v>
      </c>
      <c r="E67" s="74">
        <v>530</v>
      </c>
      <c r="F67" s="52">
        <v>530</v>
      </c>
      <c r="G67" s="50">
        <f t="shared" si="0"/>
        <v>39.75</v>
      </c>
      <c r="H67" s="50">
        <f t="shared" si="1"/>
        <v>75.524999999999991</v>
      </c>
      <c r="I67" s="51">
        <f t="shared" si="2"/>
        <v>0</v>
      </c>
      <c r="J67" s="52"/>
      <c r="K67" s="52"/>
      <c r="L67" s="53"/>
      <c r="M67" s="54">
        <f t="shared" si="3"/>
        <v>490.25</v>
      </c>
      <c r="N67" s="55">
        <f t="shared" si="4"/>
        <v>605.52499999999998</v>
      </c>
      <c r="O67" s="33" t="s">
        <v>54</v>
      </c>
      <c r="P67" s="60" t="s">
        <v>224</v>
      </c>
      <c r="Q67" s="60" t="s">
        <v>225</v>
      </c>
      <c r="R67" s="61" t="s">
        <v>55</v>
      </c>
      <c r="S67" s="77">
        <v>323111</v>
      </c>
      <c r="T67" s="60" t="s">
        <v>56</v>
      </c>
    </row>
    <row r="68" spans="1:20" x14ac:dyDescent="0.2">
      <c r="A68" s="63">
        <v>64</v>
      </c>
      <c r="B68" s="71" t="s">
        <v>227</v>
      </c>
      <c r="C68" s="46" t="s">
        <v>228</v>
      </c>
      <c r="D68" s="76" t="s">
        <v>229</v>
      </c>
      <c r="E68" s="74">
        <v>2600</v>
      </c>
      <c r="F68" s="52">
        <v>2600</v>
      </c>
      <c r="G68" s="50">
        <f t="shared" si="0"/>
        <v>195</v>
      </c>
      <c r="H68" s="50">
        <f t="shared" si="1"/>
        <v>370.49999999999994</v>
      </c>
      <c r="I68" s="51">
        <f t="shared" si="2"/>
        <v>254.16666666666666</v>
      </c>
      <c r="J68" s="52"/>
      <c r="K68" s="52"/>
      <c r="L68" s="53"/>
      <c r="M68" s="54">
        <f t="shared" si="3"/>
        <v>2150.8333333333335</v>
      </c>
      <c r="N68" s="55">
        <f t="shared" si="4"/>
        <v>2970.5</v>
      </c>
      <c r="O68" s="33" t="s">
        <v>54</v>
      </c>
      <c r="P68" s="60" t="s">
        <v>227</v>
      </c>
      <c r="Q68" s="60" t="s">
        <v>228</v>
      </c>
      <c r="R68" s="61" t="s">
        <v>55</v>
      </c>
      <c r="S68" s="77">
        <v>325311</v>
      </c>
      <c r="T68" s="60" t="s">
        <v>56</v>
      </c>
    </row>
    <row r="69" spans="1:20" x14ac:dyDescent="0.2">
      <c r="A69" s="45">
        <v>65</v>
      </c>
      <c r="B69" s="71" t="s">
        <v>444</v>
      </c>
      <c r="C69" s="46" t="s">
        <v>445</v>
      </c>
      <c r="D69" s="76" t="s">
        <v>446</v>
      </c>
      <c r="E69" s="74">
        <v>1562</v>
      </c>
      <c r="F69" s="52">
        <v>1562</v>
      </c>
      <c r="G69" s="50">
        <f t="shared" ref="G69:G100" si="5">E69*0.075</f>
        <v>117.14999999999999</v>
      </c>
      <c r="H69" s="50">
        <f t="shared" ref="H69:H100" si="6">E69*0.1425</f>
        <v>222.58499999999998</v>
      </c>
      <c r="I69" s="51">
        <f t="shared" ref="I69:I115" si="7">(IF((O69="No"),(IF((($F69*12)-9000)&lt;0,0,(IF((($F69*12)-9000)&gt;20000,(5000*5%+5000*10%+5000*15%+5000*20%+((($F69*12)-9000)-20000)*25%),IF((($F69*12)-9000)&gt;15000,(5000*5%+5000*10%+5000*15%+((($F69*12)-9000)-15000)*20%),IF((($F69*12)-9000)&gt;10000,(5000*5%+5000*10%+((($F69*12)-9000)-10000)*15%),IF((($F69*12)-9000)&gt;5000,(5000*5%+((($F69*12)-9000)-5000)*10%),IF((($F69*12)-9000)&lt;5000,(($F69*12)-9000)*5%)))))))),((IF((($F69*12)-18000)&lt;0,0,(IF((($F69*12)-18000)&gt;20000,(5000*5%+5000*10%+5000*15%+5000*20%+((($F69*12)-18000)-20000)*25%),IF((($F69*12)-18000)&gt;15000,(5000*5%+5000*10%+5000*15%+((($F69*12)-18000)-15000)*20%),IF((($F69*12)-18000)&gt;10000,(5000*5%+5000*10%+((($F69*12)-18000)-10000)*15%),IF((($F69*12)-18000)&gt;5000,(5000*5%+((($F69*12)-18000)-5000)*10%),IF((($F69*12)-18000)&lt;5000,(($F69*12)-18000)*5%))))))))))/12)</f>
        <v>60.366666666666674</v>
      </c>
      <c r="J69" s="52"/>
      <c r="K69" s="52"/>
      <c r="L69" s="53"/>
      <c r="M69" s="54">
        <f t="shared" ref="M69:M115" si="8">(F69+K69)-SUM(G69,I69,J69,L69)</f>
        <v>1384.4833333333333</v>
      </c>
      <c r="N69" s="55">
        <f t="shared" ref="N69:N115" si="9">F69+H69</f>
        <v>1784.585</v>
      </c>
      <c r="O69" s="33" t="s">
        <v>54</v>
      </c>
      <c r="P69" s="60" t="s">
        <v>444</v>
      </c>
      <c r="Q69" s="60" t="s">
        <v>445</v>
      </c>
      <c r="R69" s="61" t="s">
        <v>55</v>
      </c>
      <c r="S69" s="77">
        <v>325311</v>
      </c>
      <c r="T69" s="60" t="s">
        <v>56</v>
      </c>
    </row>
    <row r="70" spans="1:20" x14ac:dyDescent="0.2">
      <c r="A70" s="45">
        <v>66</v>
      </c>
      <c r="B70" s="71" t="s">
        <v>230</v>
      </c>
      <c r="C70" s="46" t="s">
        <v>231</v>
      </c>
      <c r="D70" s="76" t="s">
        <v>232</v>
      </c>
      <c r="E70" s="74">
        <v>1100</v>
      </c>
      <c r="F70" s="52">
        <v>1100</v>
      </c>
      <c r="G70" s="50">
        <f t="shared" si="5"/>
        <v>82.5</v>
      </c>
      <c r="H70" s="50">
        <f t="shared" si="6"/>
        <v>156.75</v>
      </c>
      <c r="I70" s="51">
        <f t="shared" si="7"/>
        <v>17.5</v>
      </c>
      <c r="J70" s="52"/>
      <c r="K70" s="52"/>
      <c r="L70" s="53"/>
      <c r="M70" s="54">
        <f t="shared" si="8"/>
        <v>1000</v>
      </c>
      <c r="N70" s="55">
        <f t="shared" si="9"/>
        <v>1256.75</v>
      </c>
      <c r="O70" s="33" t="s">
        <v>54</v>
      </c>
      <c r="P70" s="60" t="s">
        <v>230</v>
      </c>
      <c r="Q70" s="60" t="s">
        <v>231</v>
      </c>
      <c r="R70" s="61"/>
      <c r="S70" s="77">
        <v>325311</v>
      </c>
      <c r="T70" s="60" t="s">
        <v>56</v>
      </c>
    </row>
    <row r="71" spans="1:20" ht="15" thickBot="1" x14ac:dyDescent="0.25">
      <c r="A71" s="45">
        <v>67</v>
      </c>
      <c r="B71" s="71" t="s">
        <v>233</v>
      </c>
      <c r="C71" s="46" t="s">
        <v>234</v>
      </c>
      <c r="D71" s="76" t="s">
        <v>204</v>
      </c>
      <c r="E71" s="80">
        <v>395</v>
      </c>
      <c r="F71" s="81">
        <v>395</v>
      </c>
      <c r="G71" s="50">
        <f t="shared" si="5"/>
        <v>29.625</v>
      </c>
      <c r="H71" s="50">
        <f t="shared" si="6"/>
        <v>56.287499999999994</v>
      </c>
      <c r="I71" s="51">
        <f t="shared" si="7"/>
        <v>0</v>
      </c>
      <c r="J71" s="52"/>
      <c r="K71" s="52"/>
      <c r="L71" s="53"/>
      <c r="M71" s="54">
        <f t="shared" si="8"/>
        <v>365.375</v>
      </c>
      <c r="N71" s="55">
        <f t="shared" si="9"/>
        <v>451.28750000000002</v>
      </c>
      <c r="O71" s="33" t="s">
        <v>54</v>
      </c>
      <c r="P71" s="60" t="s">
        <v>233</v>
      </c>
      <c r="Q71" s="60" t="s">
        <v>234</v>
      </c>
      <c r="R71" s="61"/>
      <c r="S71" s="77">
        <v>329111</v>
      </c>
      <c r="T71" s="60" t="s">
        <v>56</v>
      </c>
    </row>
    <row r="72" spans="1:20" x14ac:dyDescent="0.2">
      <c r="A72" s="63">
        <v>68</v>
      </c>
      <c r="B72" s="71" t="s">
        <v>235</v>
      </c>
      <c r="C72" s="46" t="s">
        <v>236</v>
      </c>
      <c r="D72" s="76" t="s">
        <v>204</v>
      </c>
      <c r="E72" s="80">
        <v>395</v>
      </c>
      <c r="F72" s="81">
        <v>395</v>
      </c>
      <c r="G72" s="50">
        <f t="shared" si="5"/>
        <v>29.625</v>
      </c>
      <c r="H72" s="50">
        <f t="shared" si="6"/>
        <v>56.287499999999994</v>
      </c>
      <c r="I72" s="51">
        <f t="shared" si="7"/>
        <v>0</v>
      </c>
      <c r="J72" s="52"/>
      <c r="K72" s="52"/>
      <c r="L72" s="53"/>
      <c r="M72" s="54">
        <f t="shared" si="8"/>
        <v>365.375</v>
      </c>
      <c r="N72" s="55">
        <f t="shared" si="9"/>
        <v>451.28750000000002</v>
      </c>
      <c r="O72" s="33" t="s">
        <v>54</v>
      </c>
      <c r="P72" s="60" t="s">
        <v>235</v>
      </c>
      <c r="Q72" s="60" t="s">
        <v>236</v>
      </c>
      <c r="R72" s="61"/>
      <c r="S72" s="77">
        <v>329111</v>
      </c>
      <c r="T72" s="60" t="s">
        <v>56</v>
      </c>
    </row>
    <row r="73" spans="1:20" x14ac:dyDescent="0.2">
      <c r="A73" s="45">
        <v>69</v>
      </c>
      <c r="B73" s="71" t="s">
        <v>237</v>
      </c>
      <c r="C73" s="46" t="s">
        <v>238</v>
      </c>
      <c r="D73" s="76" t="s">
        <v>239</v>
      </c>
      <c r="E73" s="74">
        <v>3000</v>
      </c>
      <c r="F73" s="52">
        <v>3000</v>
      </c>
      <c r="G73" s="50">
        <f t="shared" si="5"/>
        <v>225</v>
      </c>
      <c r="H73" s="50">
        <f t="shared" si="6"/>
        <v>427.49999999999994</v>
      </c>
      <c r="I73" s="51">
        <f t="shared" si="7"/>
        <v>175</v>
      </c>
      <c r="J73" s="52"/>
      <c r="K73" s="52"/>
      <c r="L73" s="53"/>
      <c r="M73" s="54">
        <f t="shared" si="8"/>
        <v>2600</v>
      </c>
      <c r="N73" s="55">
        <f t="shared" si="9"/>
        <v>3427.5</v>
      </c>
      <c r="O73" s="33" t="s">
        <v>69</v>
      </c>
      <c r="P73" s="60" t="s">
        <v>237</v>
      </c>
      <c r="Q73" s="60" t="s">
        <v>238</v>
      </c>
      <c r="R73" s="61"/>
      <c r="S73" s="77">
        <v>323111</v>
      </c>
      <c r="T73" s="60" t="s">
        <v>240</v>
      </c>
    </row>
    <row r="74" spans="1:20" x14ac:dyDescent="0.2">
      <c r="A74" s="45">
        <v>70</v>
      </c>
      <c r="B74" s="71" t="s">
        <v>241</v>
      </c>
      <c r="C74" s="46" t="s">
        <v>242</v>
      </c>
      <c r="D74" s="76" t="s">
        <v>243</v>
      </c>
      <c r="E74" s="74">
        <v>1136</v>
      </c>
      <c r="F74" s="52">
        <v>1136</v>
      </c>
      <c r="G74" s="50">
        <f t="shared" si="5"/>
        <v>85.2</v>
      </c>
      <c r="H74" s="50">
        <f t="shared" si="6"/>
        <v>161.88</v>
      </c>
      <c r="I74" s="51">
        <f t="shared" si="7"/>
        <v>19.3</v>
      </c>
      <c r="J74" s="52"/>
      <c r="K74" s="52"/>
      <c r="L74" s="53"/>
      <c r="M74" s="54">
        <f t="shared" si="8"/>
        <v>1031.5</v>
      </c>
      <c r="N74" s="55">
        <f t="shared" si="9"/>
        <v>1297.8800000000001</v>
      </c>
      <c r="O74" s="33" t="s">
        <v>54</v>
      </c>
      <c r="P74" s="60" t="s">
        <v>241</v>
      </c>
      <c r="Q74" s="60" t="s">
        <v>242</v>
      </c>
      <c r="R74" s="61"/>
      <c r="S74" s="77">
        <v>327111</v>
      </c>
      <c r="T74" s="60" t="s">
        <v>56</v>
      </c>
    </row>
    <row r="75" spans="1:20" ht="15" thickBot="1" x14ac:dyDescent="0.25">
      <c r="A75" s="45">
        <v>71</v>
      </c>
      <c r="B75" s="71" t="s">
        <v>244</v>
      </c>
      <c r="C75" s="46" t="s">
        <v>245</v>
      </c>
      <c r="D75" s="76" t="s">
        <v>133</v>
      </c>
      <c r="E75" s="74">
        <v>1455</v>
      </c>
      <c r="F75" s="52">
        <v>1455</v>
      </c>
      <c r="G75" s="50">
        <f t="shared" si="5"/>
        <v>109.125</v>
      </c>
      <c r="H75" s="50">
        <f t="shared" si="6"/>
        <v>207.33749999999998</v>
      </c>
      <c r="I75" s="51">
        <f t="shared" si="7"/>
        <v>0</v>
      </c>
      <c r="J75" s="52"/>
      <c r="K75" s="52"/>
      <c r="L75" s="53"/>
      <c r="M75" s="54">
        <f t="shared" si="8"/>
        <v>1345.875</v>
      </c>
      <c r="N75" s="55">
        <f t="shared" si="9"/>
        <v>1662.3375000000001</v>
      </c>
      <c r="O75" s="33" t="s">
        <v>69</v>
      </c>
      <c r="P75" s="60" t="s">
        <v>244</v>
      </c>
      <c r="Q75" s="60" t="s">
        <v>245</v>
      </c>
      <c r="R75" s="61"/>
      <c r="S75" s="77">
        <v>323111</v>
      </c>
      <c r="T75" s="60" t="s">
        <v>56</v>
      </c>
    </row>
    <row r="76" spans="1:20" x14ac:dyDescent="0.2">
      <c r="A76" s="63">
        <v>72</v>
      </c>
      <c r="B76" s="71" t="s">
        <v>246</v>
      </c>
      <c r="C76" s="46" t="s">
        <v>247</v>
      </c>
      <c r="D76" s="76" t="s">
        <v>216</v>
      </c>
      <c r="E76" s="74">
        <v>1915</v>
      </c>
      <c r="F76" s="52">
        <v>1915</v>
      </c>
      <c r="G76" s="50">
        <f t="shared" si="5"/>
        <v>143.625</v>
      </c>
      <c r="H76" s="50">
        <f t="shared" si="6"/>
        <v>272.88749999999999</v>
      </c>
      <c r="I76" s="51">
        <f t="shared" si="7"/>
        <v>20.75</v>
      </c>
      <c r="J76" s="52"/>
      <c r="K76" s="52"/>
      <c r="L76" s="53"/>
      <c r="M76" s="54">
        <f t="shared" si="8"/>
        <v>1750.625</v>
      </c>
      <c r="N76" s="55">
        <f t="shared" si="9"/>
        <v>2187.8874999999998</v>
      </c>
      <c r="O76" s="33" t="s">
        <v>69</v>
      </c>
      <c r="P76" s="60" t="s">
        <v>246</v>
      </c>
      <c r="Q76" s="60" t="s">
        <v>247</v>
      </c>
      <c r="R76" s="61"/>
      <c r="S76" s="77">
        <v>325311</v>
      </c>
      <c r="T76" s="60" t="s">
        <v>56</v>
      </c>
    </row>
    <row r="77" spans="1:20" x14ac:dyDescent="0.2">
      <c r="A77" s="45">
        <v>73</v>
      </c>
      <c r="B77" s="84" t="s">
        <v>248</v>
      </c>
      <c r="C77" s="46" t="s">
        <v>249</v>
      </c>
      <c r="D77" s="76" t="s">
        <v>250</v>
      </c>
      <c r="E77" s="74">
        <v>1207</v>
      </c>
      <c r="F77" s="52">
        <v>1207</v>
      </c>
      <c r="G77" s="50">
        <f t="shared" si="5"/>
        <v>90.524999999999991</v>
      </c>
      <c r="H77" s="50">
        <f t="shared" si="6"/>
        <v>171.99749999999997</v>
      </c>
      <c r="I77" s="51">
        <f t="shared" si="7"/>
        <v>24.866666666666664</v>
      </c>
      <c r="J77" s="52"/>
      <c r="K77" s="52"/>
      <c r="L77" s="53"/>
      <c r="M77" s="54">
        <f t="shared" si="8"/>
        <v>1091.6083333333333</v>
      </c>
      <c r="N77" s="55">
        <f t="shared" si="9"/>
        <v>1378.9974999999999</v>
      </c>
      <c r="O77" s="33" t="s">
        <v>54</v>
      </c>
      <c r="P77" s="60" t="s">
        <v>248</v>
      </c>
      <c r="Q77" s="60" t="s">
        <v>249</v>
      </c>
      <c r="R77" s="85"/>
      <c r="S77" s="86">
        <v>325411</v>
      </c>
      <c r="T77" s="87" t="s">
        <v>56</v>
      </c>
    </row>
    <row r="78" spans="1:20" x14ac:dyDescent="0.2">
      <c r="A78" s="45">
        <v>74</v>
      </c>
      <c r="B78" s="84" t="s">
        <v>251</v>
      </c>
      <c r="C78" s="46" t="s">
        <v>252</v>
      </c>
      <c r="D78" s="76" t="s">
        <v>253</v>
      </c>
      <c r="E78" s="74">
        <v>1560</v>
      </c>
      <c r="F78" s="52">
        <v>1560</v>
      </c>
      <c r="G78" s="50">
        <f t="shared" si="5"/>
        <v>117</v>
      </c>
      <c r="H78" s="50">
        <f t="shared" si="6"/>
        <v>222.29999999999998</v>
      </c>
      <c r="I78" s="51">
        <f t="shared" si="7"/>
        <v>60.166666666666664</v>
      </c>
      <c r="J78" s="52"/>
      <c r="K78" s="52"/>
      <c r="L78" s="53"/>
      <c r="M78" s="54">
        <f t="shared" si="8"/>
        <v>1382.8333333333333</v>
      </c>
      <c r="N78" s="55">
        <f t="shared" si="9"/>
        <v>1782.3</v>
      </c>
      <c r="O78" s="33" t="s">
        <v>54</v>
      </c>
      <c r="P78" s="60" t="s">
        <v>251</v>
      </c>
      <c r="Q78" s="60" t="s">
        <v>252</v>
      </c>
      <c r="R78" s="85"/>
      <c r="S78" s="86">
        <v>318223</v>
      </c>
      <c r="T78" s="87" t="s">
        <v>254</v>
      </c>
    </row>
    <row r="79" spans="1:20" ht="15" thickBot="1" x14ac:dyDescent="0.25">
      <c r="A79" s="45">
        <v>75</v>
      </c>
      <c r="B79" s="84" t="s">
        <v>255</v>
      </c>
      <c r="C79" s="46" t="s">
        <v>256</v>
      </c>
      <c r="D79" s="76" t="s">
        <v>257</v>
      </c>
      <c r="E79" s="74">
        <v>2500</v>
      </c>
      <c r="F79" s="52">
        <v>2500</v>
      </c>
      <c r="G79" s="50">
        <f t="shared" si="5"/>
        <v>187.5</v>
      </c>
      <c r="H79" s="50">
        <f t="shared" si="6"/>
        <v>356.24999999999994</v>
      </c>
      <c r="I79" s="51">
        <f t="shared" si="7"/>
        <v>87.5</v>
      </c>
      <c r="J79" s="52"/>
      <c r="K79" s="52"/>
      <c r="L79" s="53"/>
      <c r="M79" s="54">
        <f t="shared" si="8"/>
        <v>2225</v>
      </c>
      <c r="N79" s="55">
        <f t="shared" si="9"/>
        <v>2856.25</v>
      </c>
      <c r="O79" s="33" t="s">
        <v>69</v>
      </c>
      <c r="P79" s="60" t="s">
        <v>255</v>
      </c>
      <c r="Q79" s="60" t="s">
        <v>256</v>
      </c>
      <c r="R79" s="85"/>
      <c r="S79" s="86">
        <v>323111</v>
      </c>
      <c r="T79" s="87" t="s">
        <v>240</v>
      </c>
    </row>
    <row r="80" spans="1:20" x14ac:dyDescent="0.2">
      <c r="A80" s="63">
        <v>76</v>
      </c>
      <c r="B80" s="84" t="s">
        <v>258</v>
      </c>
      <c r="C80" s="46" t="s">
        <v>259</v>
      </c>
      <c r="D80" s="76" t="s">
        <v>260</v>
      </c>
      <c r="E80" s="74">
        <v>700</v>
      </c>
      <c r="F80" s="52">
        <v>700</v>
      </c>
      <c r="G80" s="50">
        <f t="shared" si="5"/>
        <v>52.5</v>
      </c>
      <c r="H80" s="50">
        <f t="shared" si="6"/>
        <v>99.749999999999986</v>
      </c>
      <c r="I80" s="51">
        <f t="shared" si="7"/>
        <v>0</v>
      </c>
      <c r="J80" s="52"/>
      <c r="K80" s="52"/>
      <c r="L80" s="53"/>
      <c r="M80" s="54">
        <f t="shared" si="8"/>
        <v>647.5</v>
      </c>
      <c r="N80" s="55">
        <f t="shared" si="9"/>
        <v>799.75</v>
      </c>
      <c r="O80" s="33" t="s">
        <v>54</v>
      </c>
      <c r="P80" s="60" t="s">
        <v>258</v>
      </c>
      <c r="Q80" s="60" t="s">
        <v>259</v>
      </c>
      <c r="R80" s="85"/>
      <c r="S80" s="86">
        <v>131111</v>
      </c>
      <c r="T80" s="87" t="s">
        <v>164</v>
      </c>
    </row>
    <row r="81" spans="1:20" x14ac:dyDescent="0.2">
      <c r="A81" s="45">
        <v>77</v>
      </c>
      <c r="B81" s="84" t="s">
        <v>261</v>
      </c>
      <c r="C81" s="46" t="s">
        <v>262</v>
      </c>
      <c r="D81" s="76" t="s">
        <v>263</v>
      </c>
      <c r="E81" s="74">
        <v>1560</v>
      </c>
      <c r="F81" s="52">
        <v>1560</v>
      </c>
      <c r="G81" s="50">
        <f t="shared" si="5"/>
        <v>117</v>
      </c>
      <c r="H81" s="50">
        <f t="shared" si="6"/>
        <v>222.29999999999998</v>
      </c>
      <c r="I81" s="51">
        <f t="shared" si="7"/>
        <v>3</v>
      </c>
      <c r="J81" s="52"/>
      <c r="K81" s="52"/>
      <c r="L81" s="53"/>
      <c r="M81" s="54">
        <f t="shared" si="8"/>
        <v>1440</v>
      </c>
      <c r="N81" s="55">
        <f t="shared" si="9"/>
        <v>1782.3</v>
      </c>
      <c r="O81" s="33" t="s">
        <v>69</v>
      </c>
      <c r="P81" s="60" t="s">
        <v>261</v>
      </c>
      <c r="Q81" s="60" t="s">
        <v>262</v>
      </c>
      <c r="R81" s="85"/>
      <c r="S81" s="86">
        <v>329111</v>
      </c>
      <c r="T81" s="87" t="s">
        <v>264</v>
      </c>
    </row>
    <row r="82" spans="1:20" x14ac:dyDescent="0.2">
      <c r="A82" s="45">
        <v>78</v>
      </c>
      <c r="B82" s="84" t="s">
        <v>265</v>
      </c>
      <c r="C82" s="46" t="s">
        <v>266</v>
      </c>
      <c r="D82" s="76" t="s">
        <v>263</v>
      </c>
      <c r="E82" s="74">
        <v>1560</v>
      </c>
      <c r="F82" s="52">
        <v>1560</v>
      </c>
      <c r="G82" s="50">
        <f t="shared" si="5"/>
        <v>117</v>
      </c>
      <c r="H82" s="50">
        <f t="shared" si="6"/>
        <v>222.29999999999998</v>
      </c>
      <c r="I82" s="51">
        <f t="shared" si="7"/>
        <v>3</v>
      </c>
      <c r="J82" s="52"/>
      <c r="K82" s="52"/>
      <c r="L82" s="53"/>
      <c r="M82" s="54">
        <f t="shared" si="8"/>
        <v>1440</v>
      </c>
      <c r="N82" s="55">
        <f t="shared" si="9"/>
        <v>1782.3</v>
      </c>
      <c r="O82" s="33" t="s">
        <v>69</v>
      </c>
      <c r="P82" s="60" t="s">
        <v>265</v>
      </c>
      <c r="Q82" s="60" t="s">
        <v>266</v>
      </c>
      <c r="R82" s="85"/>
      <c r="S82" s="86">
        <v>329111</v>
      </c>
      <c r="T82" s="87" t="s">
        <v>264</v>
      </c>
    </row>
    <row r="83" spans="1:20" ht="15" thickBot="1" x14ac:dyDescent="0.25">
      <c r="A83" s="45">
        <v>79</v>
      </c>
      <c r="B83" s="84" t="s">
        <v>267</v>
      </c>
      <c r="C83" s="46" t="s">
        <v>268</v>
      </c>
      <c r="D83" s="76" t="s">
        <v>269</v>
      </c>
      <c r="E83" s="74">
        <v>1420</v>
      </c>
      <c r="F83" s="52">
        <v>1420</v>
      </c>
      <c r="G83" s="50">
        <f t="shared" si="5"/>
        <v>106.5</v>
      </c>
      <c r="H83" s="50">
        <f t="shared" si="6"/>
        <v>202.35</v>
      </c>
      <c r="I83" s="51">
        <f t="shared" si="7"/>
        <v>46.166666666666664</v>
      </c>
      <c r="J83" s="52"/>
      <c r="K83" s="52"/>
      <c r="L83" s="53"/>
      <c r="M83" s="54">
        <f t="shared" si="8"/>
        <v>1267.3333333333333</v>
      </c>
      <c r="N83" s="55">
        <f t="shared" si="9"/>
        <v>1622.35</v>
      </c>
      <c r="O83" s="33" t="s">
        <v>54</v>
      </c>
      <c r="P83" s="60" t="s">
        <v>267</v>
      </c>
      <c r="Q83" s="60" t="s">
        <v>268</v>
      </c>
      <c r="R83" s="85"/>
      <c r="S83" s="86">
        <v>329111</v>
      </c>
      <c r="T83" s="87" t="s">
        <v>264</v>
      </c>
    </row>
    <row r="84" spans="1:20" x14ac:dyDescent="0.2">
      <c r="A84" s="63">
        <v>80</v>
      </c>
      <c r="B84" s="84" t="s">
        <v>270</v>
      </c>
      <c r="C84" s="46" t="s">
        <v>271</v>
      </c>
      <c r="D84" s="76" t="s">
        <v>250</v>
      </c>
      <c r="E84" s="74">
        <v>1207</v>
      </c>
      <c r="F84" s="52">
        <v>1207</v>
      </c>
      <c r="G84" s="50">
        <f t="shared" si="5"/>
        <v>90.524999999999991</v>
      </c>
      <c r="H84" s="50">
        <f t="shared" si="6"/>
        <v>171.99749999999997</v>
      </c>
      <c r="I84" s="51">
        <f t="shared" si="7"/>
        <v>24.866666666666664</v>
      </c>
      <c r="J84" s="52"/>
      <c r="K84" s="52"/>
      <c r="L84" s="53"/>
      <c r="M84" s="54">
        <f t="shared" si="8"/>
        <v>1091.6083333333333</v>
      </c>
      <c r="N84" s="55">
        <f t="shared" si="9"/>
        <v>1378.9974999999999</v>
      </c>
      <c r="O84" s="33" t="s">
        <v>54</v>
      </c>
      <c r="P84" s="60" t="s">
        <v>270</v>
      </c>
      <c r="Q84" s="60" t="s">
        <v>271</v>
      </c>
      <c r="R84" s="85"/>
      <c r="S84" s="86">
        <v>325411</v>
      </c>
      <c r="T84" s="87" t="s">
        <v>56</v>
      </c>
    </row>
    <row r="85" spans="1:20" x14ac:dyDescent="0.2">
      <c r="A85" s="45">
        <v>81</v>
      </c>
      <c r="B85" s="84" t="s">
        <v>272</v>
      </c>
      <c r="C85" s="46" t="s">
        <v>273</v>
      </c>
      <c r="D85" s="76" t="s">
        <v>274</v>
      </c>
      <c r="E85" s="74">
        <v>675</v>
      </c>
      <c r="F85" s="52">
        <v>675</v>
      </c>
      <c r="G85" s="50">
        <f t="shared" si="5"/>
        <v>50.625</v>
      </c>
      <c r="H85" s="50">
        <f t="shared" si="6"/>
        <v>96.187499999999986</v>
      </c>
      <c r="I85" s="51">
        <f t="shared" si="7"/>
        <v>0</v>
      </c>
      <c r="J85" s="52"/>
      <c r="K85" s="52"/>
      <c r="L85" s="53"/>
      <c r="M85" s="54">
        <f t="shared" si="8"/>
        <v>624.375</v>
      </c>
      <c r="N85" s="55">
        <f t="shared" si="9"/>
        <v>771.1875</v>
      </c>
      <c r="O85" s="33" t="s">
        <v>54</v>
      </c>
      <c r="P85" s="60" t="s">
        <v>272</v>
      </c>
      <c r="Q85" s="60" t="s">
        <v>273</v>
      </c>
      <c r="R85" s="85"/>
      <c r="S85" s="86">
        <v>325411</v>
      </c>
      <c r="T85" s="87" t="s">
        <v>275</v>
      </c>
    </row>
    <row r="86" spans="1:20" x14ac:dyDescent="0.2">
      <c r="A86" s="45">
        <v>82</v>
      </c>
      <c r="B86" s="84" t="s">
        <v>276</v>
      </c>
      <c r="C86" s="46" t="s">
        <v>277</v>
      </c>
      <c r="D86" s="76" t="s">
        <v>278</v>
      </c>
      <c r="E86" s="74">
        <v>530</v>
      </c>
      <c r="F86" s="52">
        <v>530</v>
      </c>
      <c r="G86" s="50">
        <f t="shared" si="5"/>
        <v>39.75</v>
      </c>
      <c r="H86" s="50">
        <f t="shared" si="6"/>
        <v>75.524999999999991</v>
      </c>
      <c r="I86" s="51">
        <f t="shared" si="7"/>
        <v>0</v>
      </c>
      <c r="J86" s="52"/>
      <c r="K86" s="52"/>
      <c r="L86" s="53"/>
      <c r="M86" s="54">
        <f t="shared" si="8"/>
        <v>490.25</v>
      </c>
      <c r="N86" s="55">
        <f t="shared" si="9"/>
        <v>605.52499999999998</v>
      </c>
      <c r="O86" s="33" t="s">
        <v>54</v>
      </c>
      <c r="P86" s="60" t="s">
        <v>276</v>
      </c>
      <c r="Q86" s="60" t="s">
        <v>277</v>
      </c>
      <c r="R86" s="85"/>
      <c r="S86" s="86">
        <v>325411</v>
      </c>
      <c r="T86" s="87" t="s">
        <v>275</v>
      </c>
    </row>
    <row r="87" spans="1:20" ht="15" thickBot="1" x14ac:dyDescent="0.25">
      <c r="A87" s="45">
        <v>83</v>
      </c>
      <c r="B87" s="84" t="s">
        <v>279</v>
      </c>
      <c r="C87" s="46" t="s">
        <v>280</v>
      </c>
      <c r="D87" s="76" t="s">
        <v>250</v>
      </c>
      <c r="E87" s="74">
        <v>1280</v>
      </c>
      <c r="F87" s="52">
        <v>1280</v>
      </c>
      <c r="G87" s="50">
        <f t="shared" si="5"/>
        <v>96</v>
      </c>
      <c r="H87" s="50">
        <f t="shared" si="6"/>
        <v>182.39999999999998</v>
      </c>
      <c r="I87" s="51">
        <f t="shared" si="7"/>
        <v>32.166666666666664</v>
      </c>
      <c r="J87" s="52"/>
      <c r="K87" s="52"/>
      <c r="L87" s="53"/>
      <c r="M87" s="54">
        <f t="shared" si="8"/>
        <v>1151.8333333333333</v>
      </c>
      <c r="N87" s="55">
        <f t="shared" si="9"/>
        <v>1462.4</v>
      </c>
      <c r="O87" s="33" t="s">
        <v>54</v>
      </c>
      <c r="P87" s="60" t="s">
        <v>279</v>
      </c>
      <c r="Q87" s="60" t="s">
        <v>281</v>
      </c>
      <c r="R87" s="85"/>
      <c r="S87" s="86">
        <v>325311</v>
      </c>
      <c r="T87" s="87" t="s">
        <v>56</v>
      </c>
    </row>
    <row r="88" spans="1:20" x14ac:dyDescent="0.2">
      <c r="A88" s="63">
        <v>84</v>
      </c>
      <c r="B88" s="84" t="s">
        <v>282</v>
      </c>
      <c r="C88" s="46" t="s">
        <v>283</v>
      </c>
      <c r="D88" s="76" t="s">
        <v>284</v>
      </c>
      <c r="E88" s="74">
        <v>850</v>
      </c>
      <c r="F88" s="52">
        <v>850</v>
      </c>
      <c r="G88" s="50">
        <f t="shared" si="5"/>
        <v>63.75</v>
      </c>
      <c r="H88" s="50">
        <f t="shared" si="6"/>
        <v>121.12499999999999</v>
      </c>
      <c r="I88" s="51">
        <f t="shared" si="7"/>
        <v>5</v>
      </c>
      <c r="J88" s="52"/>
      <c r="K88" s="52"/>
      <c r="L88" s="53"/>
      <c r="M88" s="54">
        <f t="shared" si="8"/>
        <v>781.25</v>
      </c>
      <c r="N88" s="55">
        <f t="shared" si="9"/>
        <v>971.125</v>
      </c>
      <c r="O88" s="33" t="s">
        <v>54</v>
      </c>
      <c r="P88" s="88" t="s">
        <v>282</v>
      </c>
      <c r="Q88" s="88" t="s">
        <v>283</v>
      </c>
      <c r="R88" s="85"/>
      <c r="S88" s="86">
        <v>323111</v>
      </c>
      <c r="T88" s="87" t="s">
        <v>56</v>
      </c>
    </row>
    <row r="89" spans="1:20" x14ac:dyDescent="0.2">
      <c r="A89" s="45">
        <v>85</v>
      </c>
      <c r="B89" s="84" t="s">
        <v>285</v>
      </c>
      <c r="C89" s="46" t="s">
        <v>286</v>
      </c>
      <c r="D89" s="76" t="s">
        <v>287</v>
      </c>
      <c r="E89" s="74">
        <v>550</v>
      </c>
      <c r="F89" s="52">
        <v>550</v>
      </c>
      <c r="G89" s="50">
        <f t="shared" si="5"/>
        <v>41.25</v>
      </c>
      <c r="H89" s="50">
        <f t="shared" si="6"/>
        <v>78.375</v>
      </c>
      <c r="I89" s="51">
        <f t="shared" si="7"/>
        <v>0</v>
      </c>
      <c r="J89" s="52"/>
      <c r="K89" s="52"/>
      <c r="L89" s="53"/>
      <c r="M89" s="54">
        <f t="shared" si="8"/>
        <v>508.75</v>
      </c>
      <c r="N89" s="55">
        <f t="shared" si="9"/>
        <v>628.375</v>
      </c>
      <c r="O89" s="33" t="s">
        <v>54</v>
      </c>
      <c r="P89" s="88" t="s">
        <v>285</v>
      </c>
      <c r="Q89" s="88" t="s">
        <v>286</v>
      </c>
      <c r="R89" s="85"/>
      <c r="S89" s="86">
        <v>323111</v>
      </c>
      <c r="T89" s="87" t="s">
        <v>56</v>
      </c>
    </row>
    <row r="90" spans="1:20" x14ac:dyDescent="0.2">
      <c r="A90" s="45">
        <v>86</v>
      </c>
      <c r="B90" s="84" t="s">
        <v>288</v>
      </c>
      <c r="C90" s="46" t="s">
        <v>289</v>
      </c>
      <c r="D90" s="76" t="s">
        <v>287</v>
      </c>
      <c r="E90" s="74">
        <v>550</v>
      </c>
      <c r="F90" s="52">
        <v>550</v>
      </c>
      <c r="G90" s="50">
        <f t="shared" si="5"/>
        <v>41.25</v>
      </c>
      <c r="H90" s="50">
        <f t="shared" si="6"/>
        <v>78.375</v>
      </c>
      <c r="I90" s="51">
        <f t="shared" si="7"/>
        <v>0</v>
      </c>
      <c r="J90" s="52"/>
      <c r="K90" s="52"/>
      <c r="L90" s="53"/>
      <c r="M90" s="54">
        <f t="shared" si="8"/>
        <v>508.75</v>
      </c>
      <c r="N90" s="55">
        <f t="shared" si="9"/>
        <v>628.375</v>
      </c>
      <c r="O90" s="33" t="s">
        <v>54</v>
      </c>
      <c r="P90" s="88" t="s">
        <v>288</v>
      </c>
      <c r="Q90" s="88" t="s">
        <v>289</v>
      </c>
      <c r="R90" s="85"/>
      <c r="S90" s="86">
        <v>323111</v>
      </c>
      <c r="T90" s="87" t="s">
        <v>56</v>
      </c>
    </row>
    <row r="91" spans="1:20" ht="15.75" thickBot="1" x14ac:dyDescent="0.3">
      <c r="A91" s="45">
        <v>87</v>
      </c>
      <c r="B91" s="84" t="s">
        <v>290</v>
      </c>
      <c r="C91" s="89" t="s">
        <v>291</v>
      </c>
      <c r="D91" s="76" t="s">
        <v>65</v>
      </c>
      <c r="E91" s="74">
        <v>850</v>
      </c>
      <c r="F91" s="52">
        <v>850</v>
      </c>
      <c r="G91" s="50">
        <f t="shared" si="5"/>
        <v>63.75</v>
      </c>
      <c r="H91" s="50">
        <f t="shared" si="6"/>
        <v>121.12499999999999</v>
      </c>
      <c r="I91" s="51">
        <f t="shared" si="7"/>
        <v>5</v>
      </c>
      <c r="J91" s="52"/>
      <c r="K91" s="52"/>
      <c r="L91" s="53"/>
      <c r="M91" s="54">
        <f t="shared" si="8"/>
        <v>781.25</v>
      </c>
      <c r="N91" s="55">
        <f t="shared" si="9"/>
        <v>971.125</v>
      </c>
      <c r="O91" s="33" t="s">
        <v>54</v>
      </c>
      <c r="P91" s="84" t="s">
        <v>290</v>
      </c>
      <c r="Q91" s="89" t="s">
        <v>291</v>
      </c>
      <c r="R91" s="85"/>
      <c r="S91" s="90">
        <v>323111</v>
      </c>
      <c r="T91" s="60" t="s">
        <v>56</v>
      </c>
    </row>
    <row r="92" spans="1:20" ht="15" x14ac:dyDescent="0.25">
      <c r="A92" s="63">
        <v>88</v>
      </c>
      <c r="B92" s="84" t="s">
        <v>292</v>
      </c>
      <c r="C92" s="89" t="s">
        <v>293</v>
      </c>
      <c r="D92" s="76" t="s">
        <v>65</v>
      </c>
      <c r="E92" s="74">
        <v>850</v>
      </c>
      <c r="F92" s="52">
        <v>850</v>
      </c>
      <c r="G92" s="50">
        <f t="shared" si="5"/>
        <v>63.75</v>
      </c>
      <c r="H92" s="50">
        <f t="shared" si="6"/>
        <v>121.12499999999999</v>
      </c>
      <c r="I92" s="51">
        <f t="shared" si="7"/>
        <v>5</v>
      </c>
      <c r="J92" s="52"/>
      <c r="K92" s="52"/>
      <c r="L92" s="53"/>
      <c r="M92" s="54">
        <f t="shared" si="8"/>
        <v>781.25</v>
      </c>
      <c r="N92" s="55">
        <f t="shared" si="9"/>
        <v>971.125</v>
      </c>
      <c r="O92" s="33" t="s">
        <v>54</v>
      </c>
      <c r="P92" s="84" t="s">
        <v>292</v>
      </c>
      <c r="Q92" s="89" t="s">
        <v>293</v>
      </c>
      <c r="R92" s="85"/>
      <c r="S92" s="90">
        <v>323111</v>
      </c>
      <c r="T92" s="60" t="s">
        <v>56</v>
      </c>
    </row>
    <row r="93" spans="1:20" ht="15" x14ac:dyDescent="0.25">
      <c r="A93" s="45">
        <v>89</v>
      </c>
      <c r="B93" s="84" t="s">
        <v>294</v>
      </c>
      <c r="C93" s="89" t="s">
        <v>295</v>
      </c>
      <c r="D93" s="76" t="s">
        <v>296</v>
      </c>
      <c r="E93" s="74">
        <v>1170</v>
      </c>
      <c r="F93" s="52">
        <v>1170</v>
      </c>
      <c r="G93" s="50">
        <f t="shared" si="5"/>
        <v>87.75</v>
      </c>
      <c r="H93" s="50">
        <f t="shared" si="6"/>
        <v>166.72499999999999</v>
      </c>
      <c r="I93" s="51">
        <f t="shared" si="7"/>
        <v>21.166666666666668</v>
      </c>
      <c r="J93" s="52"/>
      <c r="K93" s="52"/>
      <c r="L93" s="53"/>
      <c r="M93" s="54">
        <f t="shared" si="8"/>
        <v>1061.0833333333333</v>
      </c>
      <c r="N93" s="55">
        <f t="shared" si="9"/>
        <v>1336.7249999999999</v>
      </c>
      <c r="O93" s="33" t="s">
        <v>54</v>
      </c>
      <c r="P93" s="84" t="s">
        <v>294</v>
      </c>
      <c r="Q93" s="89" t="s">
        <v>295</v>
      </c>
      <c r="R93" s="85"/>
      <c r="S93" s="90">
        <v>326111</v>
      </c>
      <c r="T93" s="91" t="s">
        <v>56</v>
      </c>
    </row>
    <row r="94" spans="1:20" ht="15" x14ac:dyDescent="0.25">
      <c r="A94" s="45">
        <v>90</v>
      </c>
      <c r="B94" s="84" t="s">
        <v>297</v>
      </c>
      <c r="C94" s="89" t="s">
        <v>298</v>
      </c>
      <c r="D94" s="76" t="s">
        <v>299</v>
      </c>
      <c r="E94" s="74">
        <v>2770</v>
      </c>
      <c r="F94" s="52">
        <v>2770</v>
      </c>
      <c r="G94" s="50">
        <f t="shared" si="5"/>
        <v>207.75</v>
      </c>
      <c r="H94" s="50">
        <f t="shared" si="6"/>
        <v>394.72499999999997</v>
      </c>
      <c r="I94" s="51">
        <f t="shared" si="7"/>
        <v>129</v>
      </c>
      <c r="J94" s="52"/>
      <c r="K94" s="52"/>
      <c r="L94" s="53"/>
      <c r="M94" s="54">
        <f t="shared" si="8"/>
        <v>2433.25</v>
      </c>
      <c r="N94" s="55">
        <f t="shared" si="9"/>
        <v>3164.7249999999999</v>
      </c>
      <c r="O94" s="33" t="s">
        <v>69</v>
      </c>
      <c r="P94" s="84" t="s">
        <v>297</v>
      </c>
      <c r="Q94" s="89" t="s">
        <v>298</v>
      </c>
      <c r="R94" s="85"/>
      <c r="S94" s="90">
        <v>329111</v>
      </c>
      <c r="T94" s="91" t="s">
        <v>56</v>
      </c>
    </row>
    <row r="95" spans="1:20" ht="15" thickBot="1" x14ac:dyDescent="0.25">
      <c r="A95" s="45">
        <v>91</v>
      </c>
      <c r="B95" s="84" t="s">
        <v>300</v>
      </c>
      <c r="C95" s="92" t="s">
        <v>301</v>
      </c>
      <c r="D95" s="76" t="s">
        <v>302</v>
      </c>
      <c r="E95" s="74">
        <v>1420</v>
      </c>
      <c r="F95" s="52">
        <v>1420</v>
      </c>
      <c r="G95" s="50">
        <f t="shared" si="5"/>
        <v>106.5</v>
      </c>
      <c r="H95" s="50">
        <f t="shared" si="6"/>
        <v>202.35</v>
      </c>
      <c r="I95" s="51">
        <f t="shared" si="7"/>
        <v>46.166666666666664</v>
      </c>
      <c r="J95" s="52"/>
      <c r="K95" s="52"/>
      <c r="L95" s="53"/>
      <c r="M95" s="54">
        <f t="shared" si="8"/>
        <v>1267.3333333333333</v>
      </c>
      <c r="N95" s="55">
        <f t="shared" si="9"/>
        <v>1622.35</v>
      </c>
      <c r="O95" s="33" t="s">
        <v>54</v>
      </c>
      <c r="P95" s="84" t="s">
        <v>300</v>
      </c>
      <c r="Q95" s="92" t="s">
        <v>301</v>
      </c>
      <c r="R95" s="85"/>
      <c r="S95" s="90">
        <v>325311</v>
      </c>
      <c r="T95" s="91" t="s">
        <v>56</v>
      </c>
    </row>
    <row r="96" spans="1:20" x14ac:dyDescent="0.2">
      <c r="A96" s="63">
        <v>92</v>
      </c>
      <c r="B96" s="84" t="s">
        <v>303</v>
      </c>
      <c r="C96" s="92" t="s">
        <v>304</v>
      </c>
      <c r="D96" s="76" t="s">
        <v>302</v>
      </c>
      <c r="E96" s="74">
        <v>1490</v>
      </c>
      <c r="F96" s="52">
        <v>1490</v>
      </c>
      <c r="G96" s="50">
        <f t="shared" si="5"/>
        <v>111.75</v>
      </c>
      <c r="H96" s="50">
        <f t="shared" si="6"/>
        <v>212.32499999999999</v>
      </c>
      <c r="I96" s="51">
        <f t="shared" si="7"/>
        <v>53.166666666666664</v>
      </c>
      <c r="J96" s="52"/>
      <c r="K96" s="52"/>
      <c r="L96" s="53"/>
      <c r="M96" s="54">
        <f t="shared" si="8"/>
        <v>1325.0833333333333</v>
      </c>
      <c r="N96" s="55">
        <f t="shared" si="9"/>
        <v>1702.325</v>
      </c>
      <c r="O96" s="33" t="s">
        <v>54</v>
      </c>
      <c r="P96" s="84" t="s">
        <v>303</v>
      </c>
      <c r="Q96" s="92" t="s">
        <v>304</v>
      </c>
      <c r="R96" s="85"/>
      <c r="S96" s="86">
        <v>325311</v>
      </c>
      <c r="T96" s="93" t="s">
        <v>56</v>
      </c>
    </row>
    <row r="97" spans="1:20" x14ac:dyDescent="0.2">
      <c r="A97" s="45">
        <v>93</v>
      </c>
      <c r="B97" s="84" t="s">
        <v>305</v>
      </c>
      <c r="C97" s="92" t="s">
        <v>306</v>
      </c>
      <c r="D97" s="76" t="s">
        <v>307</v>
      </c>
      <c r="E97" s="74">
        <v>1008</v>
      </c>
      <c r="F97" s="52">
        <v>1008</v>
      </c>
      <c r="G97" s="50">
        <f t="shared" si="5"/>
        <v>75.599999999999994</v>
      </c>
      <c r="H97" s="50">
        <f t="shared" si="6"/>
        <v>143.63999999999999</v>
      </c>
      <c r="I97" s="51">
        <f t="shared" si="7"/>
        <v>12.9</v>
      </c>
      <c r="J97" s="52"/>
      <c r="K97" s="52"/>
      <c r="L97" s="53"/>
      <c r="M97" s="54">
        <f t="shared" si="8"/>
        <v>919.5</v>
      </c>
      <c r="N97" s="55">
        <f t="shared" si="9"/>
        <v>1151.6399999999999</v>
      </c>
      <c r="O97" s="33" t="s">
        <v>54</v>
      </c>
      <c r="P97" s="84" t="s">
        <v>305</v>
      </c>
      <c r="Q97" s="92" t="s">
        <v>306</v>
      </c>
      <c r="R97" s="85"/>
      <c r="S97" s="86">
        <v>322111</v>
      </c>
      <c r="T97" s="93" t="s">
        <v>56</v>
      </c>
    </row>
    <row r="98" spans="1:20" x14ac:dyDescent="0.2">
      <c r="A98" s="45">
        <v>94</v>
      </c>
      <c r="B98" s="84" t="s">
        <v>308</v>
      </c>
      <c r="C98" s="92" t="s">
        <v>309</v>
      </c>
      <c r="D98" s="76" t="s">
        <v>310</v>
      </c>
      <c r="E98" s="74">
        <v>2130</v>
      </c>
      <c r="F98" s="52">
        <v>2130</v>
      </c>
      <c r="G98" s="50">
        <f t="shared" si="5"/>
        <v>159.75</v>
      </c>
      <c r="H98" s="50">
        <f t="shared" si="6"/>
        <v>303.52499999999998</v>
      </c>
      <c r="I98" s="51">
        <f t="shared" si="7"/>
        <v>151</v>
      </c>
      <c r="J98" s="52"/>
      <c r="K98" s="52"/>
      <c r="L98" s="53"/>
      <c r="M98" s="54">
        <f t="shared" si="8"/>
        <v>1819.25</v>
      </c>
      <c r="N98" s="55">
        <f t="shared" si="9"/>
        <v>2433.5250000000001</v>
      </c>
      <c r="O98" s="33" t="s">
        <v>54</v>
      </c>
      <c r="P98" s="84" t="s">
        <v>308</v>
      </c>
      <c r="Q98" s="92" t="s">
        <v>309</v>
      </c>
      <c r="R98" s="85"/>
      <c r="S98" s="86">
        <v>325311</v>
      </c>
      <c r="T98" s="87" t="s">
        <v>56</v>
      </c>
    </row>
    <row r="99" spans="1:20" ht="15" thickBot="1" x14ac:dyDescent="0.25">
      <c r="A99" s="45">
        <v>95</v>
      </c>
      <c r="B99" s="84" t="s">
        <v>311</v>
      </c>
      <c r="C99" s="92" t="s">
        <v>312</v>
      </c>
      <c r="D99" s="76" t="s">
        <v>313</v>
      </c>
      <c r="E99" s="74">
        <v>1880</v>
      </c>
      <c r="F99" s="74">
        <v>1880</v>
      </c>
      <c r="G99" s="50">
        <f t="shared" si="5"/>
        <v>141</v>
      </c>
      <c r="H99" s="50">
        <f t="shared" si="6"/>
        <v>267.89999999999998</v>
      </c>
      <c r="I99" s="51">
        <f t="shared" si="7"/>
        <v>107</v>
      </c>
      <c r="J99" s="52"/>
      <c r="K99" s="52"/>
      <c r="L99" s="53"/>
      <c r="M99" s="54">
        <f t="shared" si="8"/>
        <v>1632</v>
      </c>
      <c r="N99" s="55">
        <f t="shared" si="9"/>
        <v>2147.9</v>
      </c>
      <c r="O99" s="33" t="s">
        <v>54</v>
      </c>
      <c r="P99" s="84" t="s">
        <v>311</v>
      </c>
      <c r="Q99" s="92" t="s">
        <v>312</v>
      </c>
      <c r="R99" s="85"/>
      <c r="S99" s="62">
        <v>329111</v>
      </c>
      <c r="T99" s="94" t="s">
        <v>56</v>
      </c>
    </row>
    <row r="100" spans="1:20" x14ac:dyDescent="0.2">
      <c r="A100" s="63">
        <v>96</v>
      </c>
      <c r="B100" s="84" t="s">
        <v>314</v>
      </c>
      <c r="C100" s="92" t="s">
        <v>315</v>
      </c>
      <c r="D100" s="76" t="s">
        <v>316</v>
      </c>
      <c r="E100" s="74">
        <v>320</v>
      </c>
      <c r="F100" s="52">
        <f t="shared" ref="F100:F105" si="10">E100/31*31</f>
        <v>320</v>
      </c>
      <c r="G100" s="50">
        <f t="shared" si="5"/>
        <v>24</v>
      </c>
      <c r="H100" s="50">
        <f t="shared" si="6"/>
        <v>45.599999999999994</v>
      </c>
      <c r="I100" s="51">
        <f t="shared" si="7"/>
        <v>0</v>
      </c>
      <c r="J100" s="52"/>
      <c r="K100" s="52"/>
      <c r="L100" s="53"/>
      <c r="M100" s="54">
        <f t="shared" si="8"/>
        <v>296</v>
      </c>
      <c r="N100" s="55">
        <f t="shared" si="9"/>
        <v>365.6</v>
      </c>
      <c r="O100" s="33" t="s">
        <v>54</v>
      </c>
      <c r="P100" s="84" t="s">
        <v>314</v>
      </c>
      <c r="Q100" s="92" t="s">
        <v>315</v>
      </c>
      <c r="R100" s="85"/>
      <c r="S100" s="86">
        <v>318531</v>
      </c>
      <c r="T100" s="87" t="s">
        <v>317</v>
      </c>
    </row>
    <row r="101" spans="1:20" x14ac:dyDescent="0.2">
      <c r="A101" s="45">
        <v>97</v>
      </c>
      <c r="B101" s="84" t="s">
        <v>318</v>
      </c>
      <c r="C101" s="92" t="s">
        <v>319</v>
      </c>
      <c r="D101" s="76" t="s">
        <v>320</v>
      </c>
      <c r="E101" s="74">
        <v>8300</v>
      </c>
      <c r="F101" s="52">
        <f t="shared" si="10"/>
        <v>8300</v>
      </c>
      <c r="G101" s="50">
        <f>5000*0.075</f>
        <v>375</v>
      </c>
      <c r="H101" s="50">
        <f>5000*0.1425</f>
        <v>712.49999999999989</v>
      </c>
      <c r="I101" s="51">
        <f t="shared" si="7"/>
        <v>1679.1666666666667</v>
      </c>
      <c r="J101" s="52"/>
      <c r="K101" s="52"/>
      <c r="L101" s="53"/>
      <c r="M101" s="54">
        <f t="shared" si="8"/>
        <v>6245.833333333333</v>
      </c>
      <c r="N101" s="55">
        <f t="shared" si="9"/>
        <v>9012.5</v>
      </c>
      <c r="O101" s="33" t="s">
        <v>54</v>
      </c>
      <c r="P101" s="84" t="s">
        <v>318</v>
      </c>
      <c r="Q101" s="92" t="s">
        <v>319</v>
      </c>
      <c r="R101" s="85"/>
      <c r="S101" s="86">
        <v>131111</v>
      </c>
      <c r="T101" s="87"/>
    </row>
    <row r="102" spans="1:20" x14ac:dyDescent="0.2">
      <c r="A102" s="45">
        <v>98</v>
      </c>
      <c r="B102" s="84" t="s">
        <v>321</v>
      </c>
      <c r="C102" s="92" t="s">
        <v>322</v>
      </c>
      <c r="D102" s="76" t="s">
        <v>323</v>
      </c>
      <c r="E102" s="74">
        <v>2550</v>
      </c>
      <c r="F102" s="52">
        <f t="shared" si="10"/>
        <v>2550</v>
      </c>
      <c r="G102" s="50">
        <f t="shared" ref="G102:G115" si="11">E102*0.075</f>
        <v>191.25</v>
      </c>
      <c r="H102" s="50">
        <f t="shared" ref="H102:H115" si="12">E102*0.1425</f>
        <v>363.37499999999994</v>
      </c>
      <c r="I102" s="51">
        <f t="shared" si="7"/>
        <v>241.66666666666666</v>
      </c>
      <c r="J102" s="52"/>
      <c r="K102" s="52"/>
      <c r="L102" s="53"/>
      <c r="M102" s="54">
        <f t="shared" si="8"/>
        <v>2117.0833333333335</v>
      </c>
      <c r="N102" s="55">
        <f t="shared" si="9"/>
        <v>2913.375</v>
      </c>
      <c r="O102" s="33" t="s">
        <v>54</v>
      </c>
      <c r="P102" s="84" t="s">
        <v>321</v>
      </c>
      <c r="Q102" s="92" t="s">
        <v>322</v>
      </c>
      <c r="R102" s="85"/>
      <c r="S102" s="86">
        <v>318242</v>
      </c>
      <c r="T102" s="87" t="s">
        <v>324</v>
      </c>
    </row>
    <row r="103" spans="1:20" ht="15" thickBot="1" x14ac:dyDescent="0.25">
      <c r="A103" s="45">
        <v>99</v>
      </c>
      <c r="B103" s="84" t="s">
        <v>325</v>
      </c>
      <c r="C103" s="92" t="s">
        <v>326</v>
      </c>
      <c r="D103" s="76" t="s">
        <v>327</v>
      </c>
      <c r="E103" s="74">
        <v>1350</v>
      </c>
      <c r="F103" s="52">
        <f t="shared" si="10"/>
        <v>1350</v>
      </c>
      <c r="G103" s="50">
        <f t="shared" si="11"/>
        <v>101.25</v>
      </c>
      <c r="H103" s="50">
        <f t="shared" si="12"/>
        <v>192.37499999999997</v>
      </c>
      <c r="I103" s="51">
        <f t="shared" si="7"/>
        <v>39.166666666666664</v>
      </c>
      <c r="J103" s="52"/>
      <c r="K103" s="52"/>
      <c r="L103" s="53"/>
      <c r="M103" s="54">
        <f t="shared" si="8"/>
        <v>1209.5833333333333</v>
      </c>
      <c r="N103" s="55">
        <f t="shared" si="9"/>
        <v>1542.375</v>
      </c>
      <c r="O103" s="33" t="s">
        <v>54</v>
      </c>
      <c r="P103" s="84" t="s">
        <v>325</v>
      </c>
      <c r="Q103" s="92" t="s">
        <v>326</v>
      </c>
      <c r="R103" s="85"/>
      <c r="S103" s="86">
        <v>323111</v>
      </c>
      <c r="T103" s="87" t="s">
        <v>240</v>
      </c>
    </row>
    <row r="104" spans="1:20" x14ac:dyDescent="0.2">
      <c r="A104" s="63">
        <v>100</v>
      </c>
      <c r="B104" s="84" t="s">
        <v>328</v>
      </c>
      <c r="C104" s="92" t="s">
        <v>329</v>
      </c>
      <c r="D104" s="76" t="s">
        <v>327</v>
      </c>
      <c r="E104" s="74">
        <v>1350</v>
      </c>
      <c r="F104" s="52">
        <f t="shared" si="10"/>
        <v>1350</v>
      </c>
      <c r="G104" s="50">
        <f t="shared" si="11"/>
        <v>101.25</v>
      </c>
      <c r="H104" s="50">
        <f t="shared" si="12"/>
        <v>192.37499999999997</v>
      </c>
      <c r="I104" s="51">
        <f t="shared" si="7"/>
        <v>39.166666666666664</v>
      </c>
      <c r="J104" s="52"/>
      <c r="K104" s="52"/>
      <c r="L104" s="53"/>
      <c r="M104" s="54">
        <f t="shared" si="8"/>
        <v>1209.5833333333333</v>
      </c>
      <c r="N104" s="55">
        <f t="shared" si="9"/>
        <v>1542.375</v>
      </c>
      <c r="O104" s="33" t="s">
        <v>54</v>
      </c>
      <c r="P104" s="84" t="s">
        <v>328</v>
      </c>
      <c r="Q104" s="92" t="s">
        <v>329</v>
      </c>
      <c r="R104" s="85"/>
      <c r="S104" s="86">
        <v>327111</v>
      </c>
      <c r="T104" s="87" t="s">
        <v>330</v>
      </c>
    </row>
    <row r="105" spans="1:20" x14ac:dyDescent="0.2">
      <c r="A105" s="45">
        <v>101</v>
      </c>
      <c r="B105" s="84" t="s">
        <v>331</v>
      </c>
      <c r="C105" s="92" t="s">
        <v>332</v>
      </c>
      <c r="D105" s="76" t="s">
        <v>333</v>
      </c>
      <c r="E105" s="74">
        <v>320</v>
      </c>
      <c r="F105" s="52">
        <f t="shared" si="10"/>
        <v>320</v>
      </c>
      <c r="G105" s="50">
        <f t="shared" si="11"/>
        <v>24</v>
      </c>
      <c r="H105" s="50">
        <f t="shared" si="12"/>
        <v>45.599999999999994</v>
      </c>
      <c r="I105" s="51">
        <f t="shared" si="7"/>
        <v>0</v>
      </c>
      <c r="J105" s="52"/>
      <c r="K105" s="52"/>
      <c r="L105" s="53"/>
      <c r="M105" s="54">
        <f t="shared" si="8"/>
        <v>296</v>
      </c>
      <c r="N105" s="55">
        <f t="shared" si="9"/>
        <v>365.6</v>
      </c>
      <c r="O105" s="33" t="s">
        <v>54</v>
      </c>
      <c r="P105" s="84" t="s">
        <v>331</v>
      </c>
      <c r="Q105" s="92" t="s">
        <v>334</v>
      </c>
      <c r="R105" s="85"/>
      <c r="S105" s="86">
        <v>323111</v>
      </c>
      <c r="T105" s="87" t="s">
        <v>56</v>
      </c>
    </row>
    <row r="106" spans="1:20" x14ac:dyDescent="0.2">
      <c r="A106" s="45">
        <v>102</v>
      </c>
      <c r="B106" s="84" t="s">
        <v>335</v>
      </c>
      <c r="C106" s="92" t="s">
        <v>336</v>
      </c>
      <c r="D106" s="76" t="s">
        <v>337</v>
      </c>
      <c r="E106" s="74">
        <v>1700</v>
      </c>
      <c r="F106" s="52">
        <f>E106/30*30</f>
        <v>1700</v>
      </c>
      <c r="G106" s="50">
        <f t="shared" si="11"/>
        <v>127.5</v>
      </c>
      <c r="H106" s="50">
        <f t="shared" si="12"/>
        <v>242.24999999999997</v>
      </c>
      <c r="I106" s="51">
        <f t="shared" si="7"/>
        <v>80</v>
      </c>
      <c r="J106" s="52"/>
      <c r="K106" s="52"/>
      <c r="L106" s="53"/>
      <c r="M106" s="54">
        <f t="shared" si="8"/>
        <v>1492.5</v>
      </c>
      <c r="N106" s="55">
        <f t="shared" si="9"/>
        <v>1942.25</v>
      </c>
      <c r="O106" s="33" t="s">
        <v>54</v>
      </c>
      <c r="P106" s="84" t="s">
        <v>335</v>
      </c>
      <c r="Q106" s="92" t="s">
        <v>338</v>
      </c>
      <c r="S106" s="86" t="s">
        <v>339</v>
      </c>
      <c r="T106" s="87" t="s">
        <v>177</v>
      </c>
    </row>
    <row r="107" spans="1:20" ht="15" thickBot="1" x14ac:dyDescent="0.25">
      <c r="A107" s="45">
        <v>103</v>
      </c>
      <c r="B107" s="84" t="s">
        <v>340</v>
      </c>
      <c r="C107" s="92" t="s">
        <v>341</v>
      </c>
      <c r="D107" s="76" t="s">
        <v>327</v>
      </c>
      <c r="E107" s="74">
        <v>1350</v>
      </c>
      <c r="F107" s="52">
        <f>E107/30*30</f>
        <v>1350</v>
      </c>
      <c r="G107" s="50">
        <f t="shared" si="11"/>
        <v>101.25</v>
      </c>
      <c r="H107" s="50">
        <f t="shared" si="12"/>
        <v>192.37499999999997</v>
      </c>
      <c r="I107" s="51">
        <f t="shared" si="7"/>
        <v>39.166666666666664</v>
      </c>
      <c r="J107" s="52"/>
      <c r="K107" s="52"/>
      <c r="L107" s="53"/>
      <c r="M107" s="54">
        <f t="shared" si="8"/>
        <v>1209.5833333333333</v>
      </c>
      <c r="N107" s="55">
        <f t="shared" si="9"/>
        <v>1542.375</v>
      </c>
      <c r="O107" s="33" t="s">
        <v>54</v>
      </c>
      <c r="P107" s="84" t="s">
        <v>340</v>
      </c>
      <c r="Q107" s="92" t="s">
        <v>342</v>
      </c>
      <c r="S107" s="86">
        <v>327111</v>
      </c>
      <c r="T107" s="87" t="s">
        <v>56</v>
      </c>
    </row>
    <row r="108" spans="1:20" x14ac:dyDescent="0.2">
      <c r="A108" s="63">
        <v>104</v>
      </c>
      <c r="B108" s="84" t="s">
        <v>343</v>
      </c>
      <c r="C108" s="92" t="s">
        <v>344</v>
      </c>
      <c r="D108" s="76" t="s">
        <v>94</v>
      </c>
      <c r="E108" s="74">
        <v>2700</v>
      </c>
      <c r="F108" s="52">
        <f>E108/30*30</f>
        <v>2700</v>
      </c>
      <c r="G108" s="50">
        <f t="shared" si="11"/>
        <v>202.5</v>
      </c>
      <c r="H108" s="50">
        <f t="shared" si="12"/>
        <v>384.74999999999994</v>
      </c>
      <c r="I108" s="51">
        <f t="shared" si="7"/>
        <v>279.16666666666669</v>
      </c>
      <c r="J108" s="52"/>
      <c r="K108" s="52"/>
      <c r="L108" s="53"/>
      <c r="M108" s="54">
        <f>(F108+K108)-SUM(G108,I108,J108,L108)</f>
        <v>2218.3333333333335</v>
      </c>
      <c r="N108" s="55">
        <f t="shared" si="9"/>
        <v>3084.75</v>
      </c>
      <c r="O108" s="33" t="s">
        <v>54</v>
      </c>
      <c r="P108" s="84" t="s">
        <v>343</v>
      </c>
      <c r="Q108" s="92" t="s">
        <v>346</v>
      </c>
      <c r="S108" s="86">
        <v>329111</v>
      </c>
      <c r="T108" s="87" t="s">
        <v>56</v>
      </c>
    </row>
    <row r="109" spans="1:20" x14ac:dyDescent="0.2">
      <c r="A109" s="45">
        <v>105</v>
      </c>
      <c r="B109" s="84" t="s">
        <v>347</v>
      </c>
      <c r="C109" s="92" t="s">
        <v>348</v>
      </c>
      <c r="D109" s="76" t="s">
        <v>307</v>
      </c>
      <c r="E109" s="74">
        <v>2430</v>
      </c>
      <c r="F109" s="52">
        <f>E109/30*30</f>
        <v>2430</v>
      </c>
      <c r="G109" s="50">
        <f t="shared" si="11"/>
        <v>182.25</v>
      </c>
      <c r="H109" s="50">
        <f t="shared" si="12"/>
        <v>346.27499999999998</v>
      </c>
      <c r="I109" s="51">
        <f t="shared" si="7"/>
        <v>77</v>
      </c>
      <c r="J109" s="52"/>
      <c r="K109" s="52"/>
      <c r="L109" s="53"/>
      <c r="M109" s="54">
        <f t="shared" si="8"/>
        <v>2170.75</v>
      </c>
      <c r="N109" s="55">
        <f t="shared" si="9"/>
        <v>2776.2750000000001</v>
      </c>
      <c r="O109" s="33" t="s">
        <v>345</v>
      </c>
      <c r="P109" s="84" t="s">
        <v>347</v>
      </c>
      <c r="Q109" s="92" t="s">
        <v>349</v>
      </c>
      <c r="S109" s="86">
        <v>327111</v>
      </c>
      <c r="T109" s="87" t="s">
        <v>56</v>
      </c>
    </row>
    <row r="110" spans="1:20" x14ac:dyDescent="0.2">
      <c r="A110" s="45">
        <v>106</v>
      </c>
      <c r="B110" s="84" t="s">
        <v>350</v>
      </c>
      <c r="C110" s="92" t="s">
        <v>351</v>
      </c>
      <c r="D110" s="76" t="s">
        <v>352</v>
      </c>
      <c r="E110" s="74">
        <v>800</v>
      </c>
      <c r="F110" s="52">
        <f>(E110/31*6)+800</f>
        <v>954.83870967741927</v>
      </c>
      <c r="G110" s="50">
        <f t="shared" si="11"/>
        <v>60</v>
      </c>
      <c r="H110" s="50">
        <f t="shared" si="12"/>
        <v>113.99999999999999</v>
      </c>
      <c r="I110" s="51">
        <f t="shared" si="7"/>
        <v>10.241935483870961</v>
      </c>
      <c r="J110" s="52"/>
      <c r="K110" s="52"/>
      <c r="L110" s="53"/>
      <c r="M110" s="54">
        <f>(F110+K110)-SUM(G110,I110,J110,L110)</f>
        <v>884.5967741935483</v>
      </c>
      <c r="N110" s="55">
        <f t="shared" si="9"/>
        <v>1068.8387096774193</v>
      </c>
      <c r="O110" s="33" t="s">
        <v>353</v>
      </c>
      <c r="P110" s="84" t="s">
        <v>350</v>
      </c>
      <c r="Q110" s="92" t="s">
        <v>351</v>
      </c>
      <c r="S110" s="95" t="s">
        <v>354</v>
      </c>
      <c r="T110" s="87" t="s">
        <v>355</v>
      </c>
    </row>
    <row r="111" spans="1:20" ht="15" thickBot="1" x14ac:dyDescent="0.25">
      <c r="A111" s="45">
        <v>107</v>
      </c>
      <c r="B111" s="84" t="s">
        <v>356</v>
      </c>
      <c r="C111" s="92" t="s">
        <v>357</v>
      </c>
      <c r="D111" s="76" t="s">
        <v>250</v>
      </c>
      <c r="E111" s="74">
        <v>1135</v>
      </c>
      <c r="F111" s="52">
        <f>(E111/31*6)+1135</f>
        <v>1354.6774193548388</v>
      </c>
      <c r="G111" s="50">
        <f t="shared" si="11"/>
        <v>85.125</v>
      </c>
      <c r="H111" s="50">
        <f t="shared" si="12"/>
        <v>161.73749999999998</v>
      </c>
      <c r="I111" s="51">
        <f t="shared" si="7"/>
        <v>39.634408602150536</v>
      </c>
      <c r="J111" s="52"/>
      <c r="K111" s="52"/>
      <c r="L111" s="53"/>
      <c r="M111" s="137">
        <f>(F111+K111)-SUM(G111,I111,J111,L111)</f>
        <v>1229.9180107526881</v>
      </c>
      <c r="N111" s="55">
        <f>F111+H111</f>
        <v>1516.4149193548387</v>
      </c>
      <c r="O111" s="33" t="s">
        <v>353</v>
      </c>
      <c r="P111" s="84" t="s">
        <v>356</v>
      </c>
      <c r="Q111" s="92" t="s">
        <v>357</v>
      </c>
      <c r="S111" s="95" t="s">
        <v>358</v>
      </c>
      <c r="T111" s="87" t="s">
        <v>56</v>
      </c>
    </row>
    <row r="112" spans="1:20" x14ac:dyDescent="0.2">
      <c r="A112" s="63">
        <v>108</v>
      </c>
      <c r="B112" s="84" t="s">
        <v>359</v>
      </c>
      <c r="C112" s="92" t="s">
        <v>360</v>
      </c>
      <c r="D112" s="76" t="s">
        <v>307</v>
      </c>
      <c r="E112" s="74">
        <v>640</v>
      </c>
      <c r="F112" s="52">
        <f>E112/30*20</f>
        <v>426.66666666666663</v>
      </c>
      <c r="G112" s="50">
        <f t="shared" si="11"/>
        <v>48</v>
      </c>
      <c r="H112" s="50">
        <f t="shared" si="12"/>
        <v>91.199999999999989</v>
      </c>
      <c r="I112" s="51">
        <f t="shared" si="7"/>
        <v>0</v>
      </c>
      <c r="J112" s="52"/>
      <c r="K112" s="52"/>
      <c r="L112" s="53"/>
      <c r="M112" s="137">
        <f t="shared" si="8"/>
        <v>378.66666666666663</v>
      </c>
      <c r="N112" s="55">
        <f t="shared" si="9"/>
        <v>517.86666666666656</v>
      </c>
      <c r="O112" s="33" t="s">
        <v>353</v>
      </c>
      <c r="P112" s="84" t="s">
        <v>359</v>
      </c>
      <c r="Q112" s="92" t="s">
        <v>360</v>
      </c>
      <c r="S112" s="86">
        <v>327111</v>
      </c>
      <c r="T112" s="87" t="s">
        <v>56</v>
      </c>
    </row>
    <row r="113" spans="1:20" x14ac:dyDescent="0.2">
      <c r="A113" s="45">
        <v>109</v>
      </c>
      <c r="B113" s="84" t="s">
        <v>361</v>
      </c>
      <c r="C113" s="92" t="s">
        <v>362</v>
      </c>
      <c r="D113" s="76" t="s">
        <v>363</v>
      </c>
      <c r="E113" s="74">
        <v>850</v>
      </c>
      <c r="F113" s="52">
        <f>E113/30*20</f>
        <v>566.66666666666663</v>
      </c>
      <c r="G113" s="50">
        <f t="shared" si="11"/>
        <v>63.75</v>
      </c>
      <c r="H113" s="50">
        <f t="shared" si="12"/>
        <v>121.12499999999999</v>
      </c>
      <c r="I113" s="51">
        <f t="shared" si="7"/>
        <v>0</v>
      </c>
      <c r="J113" s="52"/>
      <c r="K113" s="52"/>
      <c r="L113" s="53"/>
      <c r="M113" s="137">
        <f t="shared" si="8"/>
        <v>502.91666666666663</v>
      </c>
      <c r="N113" s="55">
        <f t="shared" si="9"/>
        <v>687.79166666666663</v>
      </c>
      <c r="O113" s="33" t="s">
        <v>353</v>
      </c>
      <c r="P113" s="84" t="s">
        <v>361</v>
      </c>
      <c r="Q113" s="92" t="s">
        <v>362</v>
      </c>
      <c r="S113" s="96">
        <v>1.1E+112</v>
      </c>
      <c r="T113" s="87" t="s">
        <v>177</v>
      </c>
    </row>
    <row r="114" spans="1:20" x14ac:dyDescent="0.2">
      <c r="A114" s="45">
        <v>110</v>
      </c>
      <c r="B114" s="84" t="s">
        <v>364</v>
      </c>
      <c r="C114" s="92" t="s">
        <v>365</v>
      </c>
      <c r="D114" s="76" t="s">
        <v>366</v>
      </c>
      <c r="E114" s="74">
        <v>1170</v>
      </c>
      <c r="F114" s="52">
        <f>E114/30*16</f>
        <v>624</v>
      </c>
      <c r="G114" s="50">
        <f t="shared" si="11"/>
        <v>87.75</v>
      </c>
      <c r="H114" s="50">
        <f t="shared" si="12"/>
        <v>166.72499999999999</v>
      </c>
      <c r="I114" s="51">
        <f t="shared" si="7"/>
        <v>0</v>
      </c>
      <c r="J114" s="52"/>
      <c r="K114" s="52"/>
      <c r="L114" s="53"/>
      <c r="M114" s="137">
        <f t="shared" si="8"/>
        <v>536.25</v>
      </c>
      <c r="N114" s="55">
        <f t="shared" si="9"/>
        <v>790.72500000000002</v>
      </c>
      <c r="O114" s="33" t="s">
        <v>353</v>
      </c>
      <c r="P114" s="84" t="s">
        <v>364</v>
      </c>
      <c r="Q114" s="92" t="s">
        <v>365</v>
      </c>
      <c r="S114" s="96">
        <v>1.1E+112</v>
      </c>
      <c r="T114" s="87" t="s">
        <v>177</v>
      </c>
    </row>
    <row r="115" spans="1:20" ht="15" thickBot="1" x14ac:dyDescent="0.25">
      <c r="A115" s="45">
        <v>111</v>
      </c>
      <c r="B115" s="84" t="s">
        <v>367</v>
      </c>
      <c r="C115" s="92" t="s">
        <v>368</v>
      </c>
      <c r="D115" s="76" t="s">
        <v>253</v>
      </c>
      <c r="E115" s="97">
        <v>1915</v>
      </c>
      <c r="F115" s="52">
        <f>E115/30*16</f>
        <v>1021.3333333333334</v>
      </c>
      <c r="G115" s="50">
        <f t="shared" si="11"/>
        <v>143.625</v>
      </c>
      <c r="H115" s="50">
        <f t="shared" si="12"/>
        <v>272.88749999999999</v>
      </c>
      <c r="I115" s="51">
        <f t="shared" si="7"/>
        <v>13.566666666666668</v>
      </c>
      <c r="J115" s="52"/>
      <c r="K115" s="52"/>
      <c r="L115" s="53"/>
      <c r="M115" s="137">
        <f t="shared" si="8"/>
        <v>864.14166666666665</v>
      </c>
      <c r="N115" s="55">
        <f t="shared" si="9"/>
        <v>1294.2208333333333</v>
      </c>
      <c r="O115" s="33" t="s">
        <v>353</v>
      </c>
      <c r="P115" s="84" t="s">
        <v>367</v>
      </c>
      <c r="Q115" s="92" t="s">
        <v>368</v>
      </c>
      <c r="S115" s="98">
        <v>329111</v>
      </c>
      <c r="T115" s="99" t="s">
        <v>56</v>
      </c>
    </row>
    <row r="116" spans="1:20" x14ac:dyDescent="0.2">
      <c r="A116" s="63">
        <v>112</v>
      </c>
      <c r="B116" s="84"/>
      <c r="C116" s="92"/>
      <c r="D116" s="76"/>
      <c r="E116" s="74"/>
      <c r="F116" s="52"/>
      <c r="G116" s="50"/>
      <c r="H116" s="50"/>
      <c r="I116" s="51"/>
      <c r="J116" s="52"/>
      <c r="K116" s="52"/>
      <c r="L116" s="53"/>
      <c r="M116" s="137"/>
      <c r="N116" s="55"/>
      <c r="O116" s="33"/>
      <c r="S116"/>
    </row>
    <row r="117" spans="1:20" x14ac:dyDescent="0.2">
      <c r="A117" s="45">
        <v>113</v>
      </c>
      <c r="B117" s="84"/>
      <c r="C117" s="92"/>
      <c r="D117" s="76"/>
      <c r="E117" s="74"/>
      <c r="F117" s="52"/>
      <c r="G117" s="50"/>
      <c r="H117" s="50"/>
      <c r="I117" s="51"/>
      <c r="J117" s="52"/>
      <c r="K117" s="52"/>
      <c r="L117" s="53"/>
      <c r="M117" s="137"/>
      <c r="N117" s="55"/>
      <c r="O117" s="33"/>
      <c r="S117"/>
    </row>
    <row r="118" spans="1:20" x14ac:dyDescent="0.2">
      <c r="A118" s="45">
        <v>114</v>
      </c>
      <c r="B118" s="66"/>
      <c r="C118" s="46"/>
      <c r="D118" s="46"/>
      <c r="E118" s="74"/>
      <c r="F118" s="52"/>
      <c r="G118" s="50"/>
      <c r="H118" s="50"/>
      <c r="I118" s="51"/>
      <c r="J118" s="52"/>
      <c r="K118" s="52"/>
      <c r="L118" s="53"/>
      <c r="M118" s="138"/>
      <c r="N118" s="55"/>
      <c r="S118"/>
    </row>
    <row r="119" spans="1:20" ht="15.75" x14ac:dyDescent="0.25">
      <c r="B119" s="91"/>
      <c r="D119">
        <f>30-12</f>
        <v>18</v>
      </c>
      <c r="E119" s="101">
        <f t="shared" ref="E119:N119" si="13">SUM(E5:E118)</f>
        <v>162815</v>
      </c>
      <c r="F119" s="101">
        <f t="shared" si="13"/>
        <v>161253.18279569893</v>
      </c>
      <c r="G119" s="101">
        <f t="shared" si="13"/>
        <v>11928</v>
      </c>
      <c r="H119" s="101">
        <f t="shared" si="13"/>
        <v>22663.199999999997</v>
      </c>
      <c r="I119" s="101">
        <f t="shared" si="13"/>
        <v>7302.843010752692</v>
      </c>
      <c r="J119" s="101">
        <f t="shared" si="13"/>
        <v>0</v>
      </c>
      <c r="K119" s="101">
        <f t="shared" si="13"/>
        <v>98.181818181818173</v>
      </c>
      <c r="L119" s="101">
        <f t="shared" si="13"/>
        <v>0</v>
      </c>
      <c r="M119" s="139">
        <f>SUM(M5:M118)</f>
        <v>142120.52160312797</v>
      </c>
      <c r="N119" s="101">
        <f t="shared" si="13"/>
        <v>183916.38279569897</v>
      </c>
      <c r="S119"/>
    </row>
    <row r="120" spans="1:20" x14ac:dyDescent="0.2">
      <c r="B120" s="91"/>
      <c r="L120" s="102"/>
    </row>
    <row r="121" spans="1:20" ht="15" x14ac:dyDescent="0.25">
      <c r="B121" s="91"/>
      <c r="H121" s="3"/>
      <c r="I121" s="3"/>
      <c r="M121" s="103"/>
      <c r="N121" s="104"/>
    </row>
    <row r="122" spans="1:20" ht="15.75" x14ac:dyDescent="0.25">
      <c r="B122" s="91"/>
      <c r="C122" s="105" t="s">
        <v>393</v>
      </c>
      <c r="D122" s="106">
        <f>F119-D124</f>
        <v>154703.18279569893</v>
      </c>
      <c r="E122" s="107" t="s">
        <v>394</v>
      </c>
      <c r="F122" s="108">
        <v>521101</v>
      </c>
      <c r="G122" t="s">
        <v>59</v>
      </c>
      <c r="H122" s="109">
        <v>0.7</v>
      </c>
      <c r="I122" s="3">
        <v>651101</v>
      </c>
      <c r="J122" t="s">
        <v>395</v>
      </c>
      <c r="M122" s="103"/>
    </row>
    <row r="123" spans="1:20" ht="15" x14ac:dyDescent="0.25">
      <c r="B123" s="91"/>
      <c r="D123" s="106">
        <f>H119-D125</f>
        <v>21729.824999999997</v>
      </c>
      <c r="E123" s="107" t="s">
        <v>396</v>
      </c>
      <c r="F123" s="108">
        <v>521107</v>
      </c>
      <c r="G123" t="s">
        <v>59</v>
      </c>
      <c r="H123" s="110" t="s">
        <v>397</v>
      </c>
      <c r="I123" s="110" t="s">
        <v>398</v>
      </c>
      <c r="O123" s="3">
        <v>51111101</v>
      </c>
      <c r="S123" s="111">
        <v>51111107</v>
      </c>
    </row>
    <row r="124" spans="1:20" x14ac:dyDescent="0.2">
      <c r="B124" s="91"/>
      <c r="D124" s="107">
        <f>F24+F45+F50+F54+F80</f>
        <v>6550</v>
      </c>
      <c r="E124" s="107" t="s">
        <v>399</v>
      </c>
      <c r="F124" s="108">
        <v>621101</v>
      </c>
      <c r="G124" t="s">
        <v>400</v>
      </c>
      <c r="H124" s="112">
        <v>651102</v>
      </c>
      <c r="I124" s="113" t="s">
        <v>401</v>
      </c>
      <c r="J124" s="33"/>
      <c r="K124" s="33"/>
      <c r="L124">
        <v>51111101</v>
      </c>
      <c r="M124" s="62">
        <v>111111</v>
      </c>
      <c r="N124" t="s">
        <v>402</v>
      </c>
      <c r="O124" s="114">
        <v>2300</v>
      </c>
      <c r="P124" s="102"/>
      <c r="Q124" s="102"/>
      <c r="R124" s="102"/>
      <c r="S124" s="115">
        <v>327.75</v>
      </c>
    </row>
    <row r="125" spans="1:20" x14ac:dyDescent="0.2">
      <c r="D125" s="116">
        <f>H24+H45+H50+H54+H80</f>
        <v>933.375</v>
      </c>
      <c r="E125" s="107" t="s">
        <v>403</v>
      </c>
      <c r="F125" s="108">
        <v>621107</v>
      </c>
      <c r="G125" t="s">
        <v>400</v>
      </c>
      <c r="H125" s="117"/>
      <c r="I125" s="118"/>
      <c r="J125" s="118"/>
      <c r="K125" s="118"/>
      <c r="L125">
        <v>51111101</v>
      </c>
      <c r="M125" s="62">
        <v>122111</v>
      </c>
      <c r="N125" t="s">
        <v>402</v>
      </c>
      <c r="O125" s="114">
        <v>2500</v>
      </c>
      <c r="P125" s="102"/>
      <c r="Q125" s="102"/>
      <c r="R125" s="102"/>
      <c r="S125" s="115">
        <v>356.24999999999994</v>
      </c>
    </row>
    <row r="126" spans="1:20" x14ac:dyDescent="0.2">
      <c r="D126" s="116"/>
      <c r="E126" s="107" t="s">
        <v>404</v>
      </c>
      <c r="F126" s="108"/>
      <c r="H126" s="110"/>
      <c r="I126" s="118"/>
      <c r="J126" s="118"/>
      <c r="K126" s="118"/>
      <c r="L126">
        <v>51111101</v>
      </c>
      <c r="M126" s="62">
        <v>131111</v>
      </c>
      <c r="N126" t="s">
        <v>402</v>
      </c>
      <c r="O126" s="114">
        <v>8216.67</v>
      </c>
      <c r="P126" s="102"/>
      <c r="Q126" s="102"/>
      <c r="R126" s="102"/>
      <c r="S126" s="115">
        <v>897.75</v>
      </c>
    </row>
    <row r="127" spans="1:20" ht="28.5" x14ac:dyDescent="0.2">
      <c r="D127" s="119"/>
      <c r="E127" s="120" t="s">
        <v>405</v>
      </c>
      <c r="F127" s="108"/>
      <c r="G127" t="s">
        <v>59</v>
      </c>
      <c r="H127" s="118"/>
      <c r="I127" s="118"/>
      <c r="J127" s="118"/>
      <c r="L127">
        <v>51111101</v>
      </c>
      <c r="M127" s="62">
        <v>134311</v>
      </c>
      <c r="N127" t="s">
        <v>402</v>
      </c>
      <c r="O127" s="114">
        <v>450</v>
      </c>
      <c r="P127" s="102"/>
      <c r="Q127" s="102"/>
      <c r="R127" s="102"/>
      <c r="S127" s="115">
        <v>64.13</v>
      </c>
    </row>
    <row r="128" spans="1:20" x14ac:dyDescent="0.2">
      <c r="E128" s="121" t="s">
        <v>406</v>
      </c>
      <c r="G128" t="s">
        <v>59</v>
      </c>
      <c r="H128" s="118"/>
      <c r="I128" s="118"/>
      <c r="J128" s="118"/>
      <c r="L128">
        <v>51111101</v>
      </c>
      <c r="M128" s="62">
        <v>311311</v>
      </c>
      <c r="N128" t="s">
        <v>402</v>
      </c>
      <c r="O128" s="114">
        <v>815</v>
      </c>
      <c r="P128" s="102"/>
      <c r="Q128" s="102"/>
      <c r="R128" s="102"/>
      <c r="S128" s="115">
        <v>116.14</v>
      </c>
    </row>
    <row r="129" spans="4:21" x14ac:dyDescent="0.2">
      <c r="E129" s="121"/>
      <c r="G129" t="s">
        <v>59</v>
      </c>
      <c r="L129">
        <v>51111101</v>
      </c>
      <c r="M129" s="62">
        <v>323111</v>
      </c>
      <c r="N129" t="s">
        <v>402</v>
      </c>
      <c r="O129" s="114">
        <v>61006.33</v>
      </c>
      <c r="P129" s="102"/>
      <c r="Q129" s="102"/>
      <c r="R129" s="102"/>
      <c r="S129" s="115">
        <v>8753.6299999999992</v>
      </c>
    </row>
    <row r="130" spans="4:21" x14ac:dyDescent="0.2">
      <c r="D130" s="121"/>
      <c r="E130" s="121" t="s">
        <v>407</v>
      </c>
      <c r="F130">
        <v>522111</v>
      </c>
      <c r="G130" t="s">
        <v>59</v>
      </c>
      <c r="L130">
        <v>51111101</v>
      </c>
      <c r="M130" s="77">
        <v>122311</v>
      </c>
      <c r="N130" t="s">
        <v>402</v>
      </c>
      <c r="O130" s="114">
        <v>1350</v>
      </c>
      <c r="P130" s="102"/>
      <c r="Q130" s="102"/>
      <c r="R130" s="102"/>
      <c r="S130" s="115">
        <v>192.38</v>
      </c>
    </row>
    <row r="131" spans="4:21" x14ac:dyDescent="0.2">
      <c r="D131" s="104">
        <f>SUM(D121:D130)</f>
        <v>183916.38279569894</v>
      </c>
      <c r="L131">
        <v>51111101</v>
      </c>
      <c r="M131" s="62">
        <v>325311</v>
      </c>
      <c r="N131" t="s">
        <v>402</v>
      </c>
      <c r="O131" s="114">
        <v>18776</v>
      </c>
      <c r="P131" s="102"/>
      <c r="Q131" s="102"/>
      <c r="R131" s="102"/>
      <c r="S131" s="115">
        <v>2675.56</v>
      </c>
    </row>
    <row r="132" spans="4:21" x14ac:dyDescent="0.2">
      <c r="L132">
        <v>51111101</v>
      </c>
      <c r="M132" s="77">
        <v>326111</v>
      </c>
      <c r="N132" t="s">
        <v>402</v>
      </c>
      <c r="O132" s="114">
        <v>1490</v>
      </c>
      <c r="P132" s="102"/>
      <c r="Q132" s="102"/>
      <c r="R132" s="102"/>
      <c r="S132" s="115">
        <v>212.33</v>
      </c>
    </row>
    <row r="133" spans="4:21" x14ac:dyDescent="0.2">
      <c r="E133" s="106">
        <v>118164.74099999999</v>
      </c>
      <c r="F133" s="108" t="s">
        <v>408</v>
      </c>
      <c r="G133" s="108" t="s">
        <v>409</v>
      </c>
      <c r="I133" s="121">
        <f>E143-D131</f>
        <v>-23857.598784946254</v>
      </c>
      <c r="L133">
        <v>51111101</v>
      </c>
      <c r="M133" s="122">
        <v>327111</v>
      </c>
      <c r="N133" t="s">
        <v>402</v>
      </c>
      <c r="O133" s="114">
        <v>1631</v>
      </c>
      <c r="P133" s="102"/>
      <c r="Q133" s="102"/>
      <c r="R133" s="102"/>
      <c r="S133" s="115">
        <v>161.88</v>
      </c>
    </row>
    <row r="134" spans="4:21" x14ac:dyDescent="0.2">
      <c r="E134" s="106">
        <f>G119+H119</f>
        <v>34591.199999999997</v>
      </c>
      <c r="F134" s="108" t="s">
        <v>410</v>
      </c>
      <c r="G134" s="108">
        <v>214311</v>
      </c>
      <c r="L134">
        <v>51111101</v>
      </c>
      <c r="M134" s="62">
        <v>329111</v>
      </c>
      <c r="N134" t="s">
        <v>402</v>
      </c>
      <c r="O134" s="114">
        <v>38636.81</v>
      </c>
      <c r="P134" s="102"/>
      <c r="Q134" s="102"/>
      <c r="R134" s="102"/>
      <c r="S134" s="115">
        <v>5427.96</v>
      </c>
    </row>
    <row r="135" spans="4:21" x14ac:dyDescent="0.2">
      <c r="E135" s="106">
        <f>I119</f>
        <v>7302.843010752692</v>
      </c>
      <c r="F135" s="108" t="s">
        <v>411</v>
      </c>
      <c r="G135" s="108">
        <v>214801</v>
      </c>
      <c r="L135">
        <v>51111101</v>
      </c>
      <c r="M135" s="62">
        <v>349311</v>
      </c>
      <c r="N135" t="s">
        <v>402</v>
      </c>
      <c r="O135" s="114">
        <v>3275</v>
      </c>
      <c r="P135" s="102"/>
      <c r="Q135" s="102"/>
      <c r="R135" s="102"/>
      <c r="S135" s="115">
        <v>466.69</v>
      </c>
    </row>
    <row r="136" spans="4:21" ht="15" x14ac:dyDescent="0.25">
      <c r="E136" s="123"/>
      <c r="L136">
        <v>51111101</v>
      </c>
      <c r="M136" s="122">
        <v>318223</v>
      </c>
      <c r="N136" t="s">
        <v>402</v>
      </c>
      <c r="O136" s="114">
        <v>1560</v>
      </c>
      <c r="P136" s="124"/>
      <c r="Q136" s="124"/>
      <c r="R136" s="124">
        <f>SUBTOTAL(9,R124:R135)</f>
        <v>0</v>
      </c>
      <c r="S136" s="115">
        <v>222.3</v>
      </c>
    </row>
    <row r="137" spans="4:21" ht="15" x14ac:dyDescent="0.25">
      <c r="E137" s="123"/>
      <c r="L137">
        <v>51111101</v>
      </c>
      <c r="M137" s="122">
        <v>325411</v>
      </c>
      <c r="N137" t="s">
        <v>402</v>
      </c>
      <c r="O137" s="114">
        <v>3619</v>
      </c>
      <c r="P137" s="124"/>
      <c r="Q137" s="124"/>
      <c r="R137" s="124"/>
      <c r="S137" s="115">
        <v>515.71</v>
      </c>
    </row>
    <row r="138" spans="4:21" ht="15" x14ac:dyDescent="0.25">
      <c r="E138" s="123"/>
      <c r="K138" s="125"/>
      <c r="L138">
        <v>51111101</v>
      </c>
      <c r="M138" s="62">
        <v>318242</v>
      </c>
      <c r="N138" t="s">
        <v>402</v>
      </c>
      <c r="O138" s="114">
        <v>1530</v>
      </c>
      <c r="P138" s="124"/>
      <c r="Q138" s="124"/>
      <c r="R138" s="124"/>
      <c r="S138" s="115">
        <v>363.38</v>
      </c>
    </row>
    <row r="139" spans="4:21" ht="15" x14ac:dyDescent="0.25">
      <c r="E139" s="123"/>
      <c r="L139">
        <v>51111101</v>
      </c>
      <c r="M139" s="62">
        <v>318531</v>
      </c>
      <c r="N139" t="s">
        <v>402</v>
      </c>
      <c r="O139" s="114">
        <v>266.67</v>
      </c>
      <c r="P139" s="124"/>
      <c r="Q139" s="124"/>
      <c r="R139" s="124"/>
      <c r="S139" s="115">
        <v>45.6</v>
      </c>
    </row>
    <row r="140" spans="4:21" ht="15" x14ac:dyDescent="0.25">
      <c r="E140" s="123"/>
      <c r="L140">
        <v>51111101</v>
      </c>
      <c r="M140" s="122">
        <v>322111</v>
      </c>
      <c r="N140" t="s">
        <v>402</v>
      </c>
      <c r="O140" s="114">
        <v>1008</v>
      </c>
      <c r="P140" s="124"/>
      <c r="Q140" s="124"/>
      <c r="R140" s="124"/>
      <c r="S140" s="115">
        <v>143.63999999999999</v>
      </c>
    </row>
    <row r="141" spans="4:21" ht="15" x14ac:dyDescent="0.25">
      <c r="E141" s="123"/>
      <c r="M141" s="122"/>
      <c r="O141" s="102"/>
      <c r="P141" s="124"/>
      <c r="Q141" s="124"/>
      <c r="R141" s="124"/>
      <c r="S141" s="115"/>
    </row>
    <row r="142" spans="4:21" ht="15" x14ac:dyDescent="0.25">
      <c r="E142" s="123"/>
      <c r="M142" s="122"/>
      <c r="O142" s="102"/>
      <c r="P142" s="124"/>
      <c r="Q142" s="124"/>
      <c r="R142" s="124"/>
      <c r="S142" s="115"/>
    </row>
    <row r="143" spans="4:21" ht="15" x14ac:dyDescent="0.25">
      <c r="E143" s="126">
        <f>SUM(E133:E136)</f>
        <v>160058.78401075269</v>
      </c>
      <c r="O143" s="124">
        <f>SUBTOTAL(9,O124:O142)</f>
        <v>148430.48000000001</v>
      </c>
      <c r="P143" s="124">
        <f>SUBTOTAL(9,P124:P136)</f>
        <v>0</v>
      </c>
      <c r="Q143" s="124">
        <f>SUBTOTAL(9,Q124:Q136)</f>
        <v>0</v>
      </c>
      <c r="R143" s="124">
        <f>SUBTOTAL(9,R124:R136)</f>
        <v>0</v>
      </c>
      <c r="S143" s="124">
        <f>SUM(S124:S141)</f>
        <v>20943.079999999994</v>
      </c>
      <c r="T143" s="124"/>
      <c r="U143" s="126"/>
    </row>
    <row r="145" spans="11:19" x14ac:dyDescent="0.2">
      <c r="K145" s="103">
        <f>M119</f>
        <v>142120.52160312797</v>
      </c>
      <c r="L145" s="127">
        <v>21141201</v>
      </c>
      <c r="N145" s="128" t="s">
        <v>412</v>
      </c>
    </row>
    <row r="146" spans="11:19" x14ac:dyDescent="0.2">
      <c r="K146" s="104">
        <f>G119+H119</f>
        <v>34591.199999999997</v>
      </c>
      <c r="L146" s="127">
        <v>21141204</v>
      </c>
      <c r="N146" s="128" t="s">
        <v>413</v>
      </c>
    </row>
    <row r="147" spans="11:19" ht="15" x14ac:dyDescent="0.25">
      <c r="K147" s="104">
        <f>I119</f>
        <v>7302.843010752692</v>
      </c>
      <c r="L147" s="111">
        <v>21141304</v>
      </c>
      <c r="N147" s="128" t="s">
        <v>414</v>
      </c>
    </row>
    <row r="148" spans="11:19" ht="15" x14ac:dyDescent="0.25">
      <c r="S148" s="129">
        <f>SUM(S145:S147)</f>
        <v>0</v>
      </c>
    </row>
    <row r="149" spans="11:19" x14ac:dyDescent="0.2">
      <c r="S149" s="115">
        <f>O143+S143</f>
        <v>169373.56</v>
      </c>
    </row>
    <row r="150" spans="11:19" x14ac:dyDescent="0.2">
      <c r="K150" s="103">
        <f>K145+K146+K147</f>
        <v>184014.56461388065</v>
      </c>
    </row>
    <row r="151" spans="11:19" x14ac:dyDescent="0.2">
      <c r="M151" s="104">
        <f>S149-K150</f>
        <v>-14641.00461388065</v>
      </c>
    </row>
  </sheetData>
  <autoFilter ref="B3:T106" xr:uid="{00000000-0001-0000-0100-000000000000}">
    <filterColumn colId="0" showButton="0"/>
    <filterColumn colId="1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</autoFilter>
  <mergeCells count="4">
    <mergeCell ref="B1:D2"/>
    <mergeCell ref="E1:E2"/>
    <mergeCell ref="B3:D3"/>
    <mergeCell ref="E3:M3"/>
  </mergeCells>
  <conditionalFormatting sqref="L145">
    <cfRule type="duplicateValues" dxfId="79" priority="10"/>
    <cfRule type="duplicateValues" dxfId="78" priority="11"/>
    <cfRule type="duplicateValues" dxfId="77" priority="12"/>
    <cfRule type="duplicateValues" dxfId="76" priority="13"/>
  </conditionalFormatting>
  <conditionalFormatting sqref="L146">
    <cfRule type="duplicateValues" dxfId="75" priority="5"/>
    <cfRule type="duplicateValues" dxfId="74" priority="6"/>
    <cfRule type="duplicateValues" dxfId="73" priority="7"/>
    <cfRule type="duplicateValues" dxfId="72" priority="8"/>
  </conditionalFormatting>
  <conditionalFormatting sqref="L147">
    <cfRule type="duplicateValues" dxfId="71" priority="2"/>
    <cfRule type="duplicateValues" dxfId="70" priority="3"/>
  </conditionalFormatting>
  <conditionalFormatting sqref="M132">
    <cfRule type="duplicateValues" dxfId="69" priority="18"/>
  </conditionalFormatting>
  <conditionalFormatting sqref="N145">
    <cfRule type="duplicateValues" dxfId="68" priority="9"/>
  </conditionalFormatting>
  <conditionalFormatting sqref="N146">
    <cfRule type="duplicateValues" dxfId="67" priority="4"/>
  </conditionalFormatting>
  <conditionalFormatting sqref="N147">
    <cfRule type="duplicateValues" dxfId="66" priority="1"/>
  </conditionalFormatting>
  <conditionalFormatting sqref="P5:P50">
    <cfRule type="duplicateValues" dxfId="65" priority="20"/>
  </conditionalFormatting>
  <conditionalFormatting sqref="S60:S76">
    <cfRule type="duplicateValues" dxfId="64" priority="19"/>
  </conditionalFormatting>
  <conditionalFormatting sqref="S123">
    <cfRule type="duplicateValues" dxfId="63" priority="14"/>
    <cfRule type="duplicateValues" dxfId="62" priority="15"/>
    <cfRule type="duplicateValues" dxfId="61" priority="16"/>
    <cfRule type="duplicateValues" dxfId="60" priority="17"/>
  </conditionalFormatting>
  <pageMargins left="0.7" right="0.7" top="0.75" bottom="0.75" header="0.3" footer="0.3"/>
  <pageSetup paperSize="9" scale="35" orientation="landscape" r:id="rId1"/>
  <headerFooter>
    <oddFooter>&amp;C_x000D_&amp;1#&amp;"Calibri"&amp;10&amp;KFFFF00 Ejada Internal Use Only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BF017-67FA-49E3-96A6-B825AE31352F}">
  <sheetPr codeName="Sheet8">
    <pageSetUpPr fitToPage="1"/>
  </sheetPr>
  <dimension ref="A1:V146"/>
  <sheetViews>
    <sheetView topLeftCell="A74" zoomScaleNormal="100" workbookViewId="0">
      <selection activeCell="B95" sqref="B95"/>
    </sheetView>
  </sheetViews>
  <sheetFormatPr defaultRowHeight="14.25" x14ac:dyDescent="0.2"/>
  <cols>
    <col min="1" max="1" width="5.375" style="33" customWidth="1"/>
    <col min="2" max="2" width="10.875" style="33" customWidth="1"/>
    <col min="3" max="3" width="42.625" bestFit="1" customWidth="1"/>
    <col min="4" max="4" width="31.5" customWidth="1"/>
    <col min="5" max="6" width="15.375" customWidth="1"/>
    <col min="7" max="8" width="14.5" customWidth="1"/>
    <col min="9" max="9" width="14.125" customWidth="1"/>
    <col min="10" max="10" width="12.125" customWidth="1"/>
    <col min="11" max="11" width="15" customWidth="1"/>
    <col min="12" max="12" width="14.125" customWidth="1"/>
    <col min="13" max="13" width="17.625" customWidth="1"/>
    <col min="14" max="14" width="21" customWidth="1"/>
    <col min="15" max="15" width="10.25" customWidth="1"/>
    <col min="16" max="16" width="8.75" customWidth="1"/>
    <col min="17" max="17" width="41.625" customWidth="1"/>
    <col min="18" max="18" width="5.25" bestFit="1" customWidth="1"/>
    <col min="19" max="19" width="13.25" style="33" customWidth="1"/>
    <col min="20" max="20" width="48.5" bestFit="1" customWidth="1"/>
    <col min="21" max="21" width="12" bestFit="1" customWidth="1"/>
    <col min="23" max="23" width="8.875" customWidth="1"/>
  </cols>
  <sheetData>
    <row r="1" spans="1:20" x14ac:dyDescent="0.2">
      <c r="B1" s="198" t="s">
        <v>440</v>
      </c>
      <c r="C1" s="198"/>
      <c r="D1" s="198"/>
      <c r="E1" s="200">
        <v>45778</v>
      </c>
    </row>
    <row r="2" spans="1:20" ht="15" thickBot="1" x14ac:dyDescent="0.25">
      <c r="B2" s="199"/>
      <c r="C2" s="199"/>
      <c r="D2" s="199"/>
      <c r="E2" s="201"/>
    </row>
    <row r="3" spans="1:20" ht="18.75" thickBot="1" x14ac:dyDescent="0.25">
      <c r="B3" s="202" t="s">
        <v>32</v>
      </c>
      <c r="C3" s="203"/>
      <c r="D3" s="204"/>
      <c r="E3" s="203" t="s">
        <v>33</v>
      </c>
      <c r="F3" s="203"/>
      <c r="G3" s="203"/>
      <c r="H3" s="203"/>
      <c r="I3" s="203"/>
      <c r="J3" s="203"/>
      <c r="K3" s="203"/>
      <c r="L3" s="203"/>
      <c r="M3" s="204"/>
      <c r="N3" s="34" t="s">
        <v>34</v>
      </c>
      <c r="T3" s="33"/>
    </row>
    <row r="4" spans="1:20" ht="45" x14ac:dyDescent="0.2">
      <c r="A4" s="35" t="s">
        <v>35</v>
      </c>
      <c r="B4" s="35" t="s">
        <v>36</v>
      </c>
      <c r="C4" s="36" t="s">
        <v>37</v>
      </c>
      <c r="D4" s="37" t="s">
        <v>38</v>
      </c>
      <c r="E4" s="38" t="s">
        <v>13</v>
      </c>
      <c r="F4" s="39" t="s">
        <v>39</v>
      </c>
      <c r="G4" s="40" t="s">
        <v>40</v>
      </c>
      <c r="H4" s="40" t="s">
        <v>41</v>
      </c>
      <c r="I4" s="39" t="s">
        <v>23</v>
      </c>
      <c r="J4" s="39" t="s">
        <v>24</v>
      </c>
      <c r="K4" s="39" t="s">
        <v>42</v>
      </c>
      <c r="L4" s="39" t="s">
        <v>25</v>
      </c>
      <c r="M4" s="37" t="s">
        <v>43</v>
      </c>
      <c r="N4" s="41" t="s">
        <v>44</v>
      </c>
      <c r="O4" s="42" t="s">
        <v>45</v>
      </c>
      <c r="P4" s="43" t="s">
        <v>46</v>
      </c>
      <c r="Q4" s="43" t="s">
        <v>47</v>
      </c>
      <c r="R4" s="43" t="s">
        <v>48</v>
      </c>
      <c r="S4" s="43" t="s">
        <v>49</v>
      </c>
      <c r="T4" s="44" t="s">
        <v>50</v>
      </c>
    </row>
    <row r="5" spans="1:20" x14ac:dyDescent="0.2">
      <c r="A5" s="45">
        <v>1</v>
      </c>
      <c r="B5" s="45" t="s">
        <v>51</v>
      </c>
      <c r="C5" s="46" t="s">
        <v>52</v>
      </c>
      <c r="D5" s="47" t="s">
        <v>53</v>
      </c>
      <c r="E5" s="48">
        <v>745</v>
      </c>
      <c r="F5" s="49">
        <v>745</v>
      </c>
      <c r="G5" s="50">
        <f t="shared" ref="G5:G68" si="0">E5*0.075</f>
        <v>55.875</v>
      </c>
      <c r="H5" s="50">
        <f t="shared" ref="H5:H68" si="1">E5*0.1425</f>
        <v>106.16249999999999</v>
      </c>
      <c r="I5" s="51">
        <f t="shared" ref="I5:I68" si="2">(IF((O5="No"),(IF((($F5*12)-9000)&lt;0,0,(IF((($F5*12)-9000)&gt;20000,(5000*5%+5000*10%+5000*15%+5000*20%+((($F5*12)-9000)-20000)*25%),IF((($F5*12)-9000)&gt;15000,(5000*5%+5000*10%+5000*15%+((($F5*12)-9000)-15000)*20%),IF((($F5*12)-9000)&gt;10000,(5000*5%+5000*10%+((($F5*12)-9000)-10000)*15%),IF((($F5*12)-9000)&gt;5000,(5000*5%+((($F5*12)-9000)-5000)*10%),IF((($F5*12)-9000)&lt;5000,(($F5*12)-9000)*5%)))))))),((IF((($F5*12)-18000)&lt;0,0,(IF((($F5*12)-18000)&gt;20000,(5000*5%+5000*10%+5000*15%+5000*20%+((($F5*12)-18000)-20000)*25%),IF((($F5*12)-18000)&gt;15000,(5000*5%+5000*10%+5000*15%+((($F5*12)-18000)-15000)*20%),IF((($F5*12)-18000)&gt;10000,(5000*5%+5000*10%+((($F5*12)-18000)-10000)*15%),IF((($F5*12)-18000)&gt;5000,(5000*5%+((($F5*12)-18000)-5000)*10%),IF((($F5*12)-18000)&lt;5000,(($F5*12)-18000)*5%))))))))))/12)</f>
        <v>0</v>
      </c>
      <c r="J5" s="52"/>
      <c r="K5" s="52">
        <v>0</v>
      </c>
      <c r="L5" s="53"/>
      <c r="M5" s="54">
        <f t="shared" ref="M5:M68" si="3">(F5+K5)-SUM(G5,I5,J5,L5)</f>
        <v>689.125</v>
      </c>
      <c r="N5" s="55">
        <f t="shared" ref="N5:N68" si="4">F5+H5</f>
        <v>851.16250000000002</v>
      </c>
      <c r="O5" s="33" t="s">
        <v>54</v>
      </c>
      <c r="P5" s="56" t="s">
        <v>51</v>
      </c>
      <c r="Q5" s="56" t="s">
        <v>52</v>
      </c>
      <c r="R5" s="140" t="s">
        <v>55</v>
      </c>
      <c r="S5" s="90">
        <v>329111</v>
      </c>
      <c r="T5" s="60" t="s">
        <v>56</v>
      </c>
    </row>
    <row r="6" spans="1:20" x14ac:dyDescent="0.2">
      <c r="A6" s="45">
        <v>2</v>
      </c>
      <c r="B6" s="45" t="s">
        <v>57</v>
      </c>
      <c r="C6" s="46" t="s">
        <v>58</v>
      </c>
      <c r="D6" s="59" t="s">
        <v>53</v>
      </c>
      <c r="E6" s="48">
        <v>1583</v>
      </c>
      <c r="F6" s="49">
        <v>1583</v>
      </c>
      <c r="G6" s="50">
        <f t="shared" si="0"/>
        <v>118.72499999999999</v>
      </c>
      <c r="H6" s="50">
        <f t="shared" si="1"/>
        <v>225.57749999999999</v>
      </c>
      <c r="I6" s="51">
        <f t="shared" si="2"/>
        <v>62.466666666666669</v>
      </c>
      <c r="J6" s="52"/>
      <c r="K6" s="52">
        <v>0</v>
      </c>
      <c r="L6" s="53"/>
      <c r="M6" s="54">
        <f t="shared" si="3"/>
        <v>1401.8083333333334</v>
      </c>
      <c r="N6" s="55">
        <f t="shared" si="4"/>
        <v>1808.5774999999999</v>
      </c>
      <c r="O6" s="33" t="s">
        <v>54</v>
      </c>
      <c r="P6" s="60" t="s">
        <v>57</v>
      </c>
      <c r="Q6" s="60" t="s">
        <v>58</v>
      </c>
      <c r="R6" s="141" t="s">
        <v>59</v>
      </c>
      <c r="S6" s="62">
        <v>329111</v>
      </c>
      <c r="T6" s="60" t="s">
        <v>56</v>
      </c>
    </row>
    <row r="7" spans="1:20" ht="15" thickBot="1" x14ac:dyDescent="0.25">
      <c r="A7" s="45">
        <v>3</v>
      </c>
      <c r="B7" s="45" t="s">
        <v>60</v>
      </c>
      <c r="C7" s="46" t="s">
        <v>61</v>
      </c>
      <c r="D7" s="47" t="s">
        <v>62</v>
      </c>
      <c r="E7" s="48">
        <v>2755</v>
      </c>
      <c r="F7" s="49">
        <v>2755</v>
      </c>
      <c r="G7" s="50">
        <f t="shared" si="0"/>
        <v>206.625</v>
      </c>
      <c r="H7" s="50">
        <f t="shared" si="1"/>
        <v>392.58749999999998</v>
      </c>
      <c r="I7" s="51">
        <f t="shared" si="2"/>
        <v>292.91666666666669</v>
      </c>
      <c r="J7" s="52"/>
      <c r="K7" s="52">
        <v>0</v>
      </c>
      <c r="L7" s="53"/>
      <c r="M7" s="54">
        <f t="shared" si="3"/>
        <v>2255.4583333333335</v>
      </c>
      <c r="N7" s="55">
        <f t="shared" si="4"/>
        <v>3147.5875000000001</v>
      </c>
      <c r="O7" s="33" t="s">
        <v>54</v>
      </c>
      <c r="P7" s="60" t="s">
        <v>60</v>
      </c>
      <c r="Q7" s="60" t="s">
        <v>61</v>
      </c>
      <c r="R7" s="141" t="s">
        <v>59</v>
      </c>
      <c r="S7" s="62">
        <v>323111</v>
      </c>
      <c r="T7" s="60" t="s">
        <v>56</v>
      </c>
    </row>
    <row r="8" spans="1:20" x14ac:dyDescent="0.2">
      <c r="A8" s="63">
        <v>4</v>
      </c>
      <c r="B8" s="45" t="s">
        <v>63</v>
      </c>
      <c r="C8" s="46" t="s">
        <v>64</v>
      </c>
      <c r="D8" s="47" t="s">
        <v>65</v>
      </c>
      <c r="E8" s="48">
        <v>900</v>
      </c>
      <c r="F8" s="49">
        <v>900</v>
      </c>
      <c r="G8" s="50">
        <f t="shared" si="0"/>
        <v>67.5</v>
      </c>
      <c r="H8" s="50">
        <f t="shared" si="1"/>
        <v>128.25</v>
      </c>
      <c r="I8" s="51">
        <f t="shared" si="2"/>
        <v>7.5</v>
      </c>
      <c r="J8" s="52"/>
      <c r="K8" s="52">
        <v>0</v>
      </c>
      <c r="L8" s="53"/>
      <c r="M8" s="54">
        <f t="shared" si="3"/>
        <v>825</v>
      </c>
      <c r="N8" s="55">
        <f t="shared" si="4"/>
        <v>1028.25</v>
      </c>
      <c r="O8" s="33" t="s">
        <v>54</v>
      </c>
      <c r="P8" s="60" t="s">
        <v>63</v>
      </c>
      <c r="Q8" s="60" t="s">
        <v>64</v>
      </c>
      <c r="R8" s="141" t="s">
        <v>59</v>
      </c>
      <c r="S8" s="62">
        <v>323111</v>
      </c>
      <c r="T8" s="60" t="s">
        <v>56</v>
      </c>
    </row>
    <row r="9" spans="1:20" x14ac:dyDescent="0.2">
      <c r="A9" s="45">
        <v>5</v>
      </c>
      <c r="B9" s="45" t="s">
        <v>66</v>
      </c>
      <c r="C9" s="46" t="s">
        <v>67</v>
      </c>
      <c r="D9" s="47" t="s">
        <v>68</v>
      </c>
      <c r="E9" s="48">
        <v>2428</v>
      </c>
      <c r="F9" s="49">
        <v>2428</v>
      </c>
      <c r="G9" s="50">
        <f t="shared" si="0"/>
        <v>182.1</v>
      </c>
      <c r="H9" s="50">
        <f t="shared" si="1"/>
        <v>345.98999999999995</v>
      </c>
      <c r="I9" s="51">
        <f t="shared" si="2"/>
        <v>76.7</v>
      </c>
      <c r="J9" s="52"/>
      <c r="K9" s="52">
        <v>0</v>
      </c>
      <c r="L9" s="53"/>
      <c r="M9" s="54">
        <f t="shared" si="3"/>
        <v>2169.1999999999998</v>
      </c>
      <c r="N9" s="55">
        <f t="shared" si="4"/>
        <v>2773.99</v>
      </c>
      <c r="O9" s="33" t="s">
        <v>69</v>
      </c>
      <c r="P9" s="60" t="s">
        <v>66</v>
      </c>
      <c r="Q9" s="60" t="s">
        <v>67</v>
      </c>
      <c r="R9" s="141" t="s">
        <v>59</v>
      </c>
      <c r="S9" s="62">
        <v>329111</v>
      </c>
      <c r="T9" s="60" t="s">
        <v>56</v>
      </c>
    </row>
    <row r="10" spans="1:20" x14ac:dyDescent="0.2">
      <c r="A10" s="45">
        <v>6</v>
      </c>
      <c r="B10" s="45" t="s">
        <v>70</v>
      </c>
      <c r="C10" s="46" t="s">
        <v>71</v>
      </c>
      <c r="D10" s="47" t="s">
        <v>65</v>
      </c>
      <c r="E10" s="48">
        <v>1165</v>
      </c>
      <c r="F10" s="49">
        <v>1165</v>
      </c>
      <c r="G10" s="50">
        <f t="shared" si="0"/>
        <v>87.375</v>
      </c>
      <c r="H10" s="50">
        <f t="shared" si="1"/>
        <v>166.01249999999999</v>
      </c>
      <c r="I10" s="51">
        <f t="shared" si="2"/>
        <v>20.75</v>
      </c>
      <c r="J10" s="52"/>
      <c r="K10" s="52">
        <v>0</v>
      </c>
      <c r="L10" s="53"/>
      <c r="M10" s="54">
        <f t="shared" si="3"/>
        <v>1056.875</v>
      </c>
      <c r="N10" s="55">
        <f t="shared" si="4"/>
        <v>1331.0125</v>
      </c>
      <c r="O10" s="33" t="s">
        <v>54</v>
      </c>
      <c r="P10" s="60" t="s">
        <v>70</v>
      </c>
      <c r="Q10" s="60" t="s">
        <v>71</v>
      </c>
      <c r="R10" s="141" t="s">
        <v>59</v>
      </c>
      <c r="S10" s="62">
        <v>323111</v>
      </c>
      <c r="T10" s="60" t="s">
        <v>56</v>
      </c>
    </row>
    <row r="11" spans="1:20" x14ac:dyDescent="0.2">
      <c r="A11" s="45">
        <v>7</v>
      </c>
      <c r="B11" s="45" t="s">
        <v>72</v>
      </c>
      <c r="C11" s="46" t="s">
        <v>73</v>
      </c>
      <c r="D11" s="47" t="s">
        <v>74</v>
      </c>
      <c r="E11" s="48">
        <v>2540</v>
      </c>
      <c r="F11" s="49">
        <v>2540</v>
      </c>
      <c r="G11" s="50">
        <f t="shared" si="0"/>
        <v>190.5</v>
      </c>
      <c r="H11" s="50">
        <f t="shared" si="1"/>
        <v>361.95</v>
      </c>
      <c r="I11" s="51">
        <f t="shared" si="2"/>
        <v>93.5</v>
      </c>
      <c r="J11" s="52"/>
      <c r="K11" s="52">
        <v>0</v>
      </c>
      <c r="L11" s="53"/>
      <c r="M11" s="54">
        <f t="shared" si="3"/>
        <v>2256</v>
      </c>
      <c r="N11" s="55">
        <f t="shared" si="4"/>
        <v>2901.95</v>
      </c>
      <c r="O11" s="33" t="s">
        <v>69</v>
      </c>
      <c r="P11" s="60" t="s">
        <v>72</v>
      </c>
      <c r="Q11" s="60" t="s">
        <v>73</v>
      </c>
      <c r="R11" s="141" t="s">
        <v>59</v>
      </c>
      <c r="S11" s="62">
        <v>323111</v>
      </c>
      <c r="T11" s="60" t="s">
        <v>56</v>
      </c>
    </row>
    <row r="12" spans="1:20" x14ac:dyDescent="0.2">
      <c r="A12" s="45">
        <v>8</v>
      </c>
      <c r="B12" s="64" t="s">
        <v>75</v>
      </c>
      <c r="C12" s="46" t="s">
        <v>76</v>
      </c>
      <c r="D12" s="47" t="s">
        <v>77</v>
      </c>
      <c r="E12" s="65">
        <v>2273</v>
      </c>
      <c r="F12" s="50">
        <v>2273</v>
      </c>
      <c r="G12" s="50">
        <f t="shared" si="0"/>
        <v>170.47499999999999</v>
      </c>
      <c r="H12" s="50">
        <f t="shared" si="1"/>
        <v>323.90249999999997</v>
      </c>
      <c r="I12" s="51">
        <f t="shared" si="2"/>
        <v>56.466666666666669</v>
      </c>
      <c r="J12" s="52"/>
      <c r="K12" s="52">
        <v>0</v>
      </c>
      <c r="L12" s="53"/>
      <c r="M12" s="54">
        <f t="shared" si="3"/>
        <v>2046.0583333333334</v>
      </c>
      <c r="N12" s="55">
        <f t="shared" si="4"/>
        <v>2596.9025000000001</v>
      </c>
      <c r="O12" s="33" t="s">
        <v>69</v>
      </c>
      <c r="P12" s="60" t="s">
        <v>75</v>
      </c>
      <c r="Q12" s="60" t="s">
        <v>76</v>
      </c>
      <c r="R12" s="141" t="s">
        <v>59</v>
      </c>
      <c r="S12" s="62">
        <v>323111</v>
      </c>
      <c r="T12" s="60" t="s">
        <v>56</v>
      </c>
    </row>
    <row r="13" spans="1:20" x14ac:dyDescent="0.2">
      <c r="A13" s="45">
        <v>9</v>
      </c>
      <c r="B13" s="66" t="s">
        <v>78</v>
      </c>
      <c r="C13" s="46" t="s">
        <v>79</v>
      </c>
      <c r="D13" s="67" t="s">
        <v>74</v>
      </c>
      <c r="E13" s="68">
        <v>2350</v>
      </c>
      <c r="F13" s="52">
        <v>2350</v>
      </c>
      <c r="G13" s="50">
        <f t="shared" si="0"/>
        <v>176.25</v>
      </c>
      <c r="H13" s="50">
        <f t="shared" si="1"/>
        <v>334.87499999999994</v>
      </c>
      <c r="I13" s="51">
        <f t="shared" si="2"/>
        <v>195</v>
      </c>
      <c r="J13" s="52"/>
      <c r="K13" s="52">
        <v>0</v>
      </c>
      <c r="L13" s="53"/>
      <c r="M13" s="54">
        <f t="shared" si="3"/>
        <v>1978.75</v>
      </c>
      <c r="N13" s="55">
        <f t="shared" si="4"/>
        <v>2684.875</v>
      </c>
      <c r="O13" s="33" t="s">
        <v>54</v>
      </c>
      <c r="P13" s="60" t="s">
        <v>78</v>
      </c>
      <c r="Q13" s="60" t="s">
        <v>79</v>
      </c>
      <c r="R13" s="141" t="s">
        <v>59</v>
      </c>
      <c r="S13" s="62">
        <v>323111</v>
      </c>
      <c r="T13" s="60" t="s">
        <v>56</v>
      </c>
    </row>
    <row r="14" spans="1:20" x14ac:dyDescent="0.2">
      <c r="A14" s="45">
        <v>10</v>
      </c>
      <c r="B14" s="66" t="s">
        <v>80</v>
      </c>
      <c r="C14" s="46" t="s">
        <v>81</v>
      </c>
      <c r="D14" s="67" t="s">
        <v>82</v>
      </c>
      <c r="E14" s="68">
        <v>710</v>
      </c>
      <c r="F14" s="52">
        <v>710</v>
      </c>
      <c r="G14" s="50">
        <f t="shared" si="0"/>
        <v>53.25</v>
      </c>
      <c r="H14" s="50">
        <f t="shared" si="1"/>
        <v>101.175</v>
      </c>
      <c r="I14" s="51">
        <f t="shared" si="2"/>
        <v>0</v>
      </c>
      <c r="J14" s="52"/>
      <c r="K14" s="52">
        <v>0</v>
      </c>
      <c r="L14" s="53"/>
      <c r="M14" s="54">
        <f t="shared" si="3"/>
        <v>656.75</v>
      </c>
      <c r="N14" s="55">
        <f t="shared" si="4"/>
        <v>811.17499999999995</v>
      </c>
      <c r="O14" s="33" t="s">
        <v>54</v>
      </c>
      <c r="P14" s="60" t="s">
        <v>80</v>
      </c>
      <c r="Q14" s="60" t="s">
        <v>81</v>
      </c>
      <c r="R14" s="141" t="s">
        <v>59</v>
      </c>
      <c r="S14" s="62">
        <v>329111</v>
      </c>
      <c r="T14" s="60" t="s">
        <v>56</v>
      </c>
    </row>
    <row r="15" spans="1:20" ht="15" thickBot="1" x14ac:dyDescent="0.25">
      <c r="A15" s="45">
        <v>11</v>
      </c>
      <c r="B15" s="66" t="s">
        <v>83</v>
      </c>
      <c r="C15" s="46" t="s">
        <v>84</v>
      </c>
      <c r="D15" s="67" t="s">
        <v>85</v>
      </c>
      <c r="E15" s="68">
        <v>1535</v>
      </c>
      <c r="F15" s="52">
        <v>1535</v>
      </c>
      <c r="G15" s="50">
        <f t="shared" si="0"/>
        <v>115.125</v>
      </c>
      <c r="H15" s="50">
        <f t="shared" si="1"/>
        <v>218.73749999999998</v>
      </c>
      <c r="I15" s="51">
        <f t="shared" si="2"/>
        <v>57.666666666666664</v>
      </c>
      <c r="J15" s="52"/>
      <c r="K15" s="52">
        <v>0</v>
      </c>
      <c r="L15" s="53"/>
      <c r="M15" s="54">
        <f t="shared" si="3"/>
        <v>1362.2083333333333</v>
      </c>
      <c r="N15" s="55">
        <f t="shared" si="4"/>
        <v>1753.7375</v>
      </c>
      <c r="O15" s="33" t="s">
        <v>54</v>
      </c>
      <c r="P15" s="60" t="s">
        <v>83</v>
      </c>
      <c r="Q15" s="60" t="s">
        <v>84</v>
      </c>
      <c r="R15" s="141" t="s">
        <v>55</v>
      </c>
      <c r="S15" s="62">
        <v>323111</v>
      </c>
      <c r="T15" s="60" t="s">
        <v>56</v>
      </c>
    </row>
    <row r="16" spans="1:20" x14ac:dyDescent="0.2">
      <c r="A16" s="63">
        <v>12</v>
      </c>
      <c r="B16" s="66" t="s">
        <v>86</v>
      </c>
      <c r="C16" s="46" t="s">
        <v>87</v>
      </c>
      <c r="D16" s="67" t="s">
        <v>65</v>
      </c>
      <c r="E16" s="69">
        <v>1235</v>
      </c>
      <c r="F16" s="49">
        <v>1235</v>
      </c>
      <c r="G16" s="50">
        <f t="shared" si="0"/>
        <v>92.625</v>
      </c>
      <c r="H16" s="50">
        <f t="shared" si="1"/>
        <v>175.98749999999998</v>
      </c>
      <c r="I16" s="51">
        <f t="shared" si="2"/>
        <v>27.666666666666668</v>
      </c>
      <c r="J16" s="52"/>
      <c r="K16" s="52">
        <v>0</v>
      </c>
      <c r="L16" s="53"/>
      <c r="M16" s="54">
        <f t="shared" si="3"/>
        <v>1114.7083333333333</v>
      </c>
      <c r="N16" s="55">
        <f t="shared" si="4"/>
        <v>1410.9875</v>
      </c>
      <c r="O16" s="33" t="s">
        <v>54</v>
      </c>
      <c r="P16" s="60" t="s">
        <v>86</v>
      </c>
      <c r="Q16" s="60" t="s">
        <v>87</v>
      </c>
      <c r="R16" s="141" t="s">
        <v>55</v>
      </c>
      <c r="S16" s="62">
        <v>323111</v>
      </c>
      <c r="T16" s="60" t="s">
        <v>56</v>
      </c>
    </row>
    <row r="17" spans="1:20" x14ac:dyDescent="0.2">
      <c r="A17" s="45">
        <v>13</v>
      </c>
      <c r="B17" s="66" t="s">
        <v>88</v>
      </c>
      <c r="C17" s="46" t="s">
        <v>89</v>
      </c>
      <c r="D17" s="67" t="s">
        <v>82</v>
      </c>
      <c r="E17" s="69">
        <v>1000</v>
      </c>
      <c r="F17" s="49">
        <v>1000</v>
      </c>
      <c r="G17" s="50">
        <f t="shared" si="0"/>
        <v>75</v>
      </c>
      <c r="H17" s="50">
        <f t="shared" si="1"/>
        <v>142.5</v>
      </c>
      <c r="I17" s="51">
        <f t="shared" si="2"/>
        <v>12.5</v>
      </c>
      <c r="J17" s="52"/>
      <c r="K17" s="52">
        <v>0</v>
      </c>
      <c r="L17" s="53"/>
      <c r="M17" s="54">
        <f t="shared" si="3"/>
        <v>912.5</v>
      </c>
      <c r="N17" s="55">
        <f t="shared" si="4"/>
        <v>1142.5</v>
      </c>
      <c r="O17" s="33" t="s">
        <v>54</v>
      </c>
      <c r="P17" s="60" t="s">
        <v>88</v>
      </c>
      <c r="Q17" s="60" t="s">
        <v>89</v>
      </c>
      <c r="R17" s="141" t="s">
        <v>55</v>
      </c>
      <c r="S17" s="62">
        <v>329111</v>
      </c>
      <c r="T17" s="60" t="s">
        <v>56</v>
      </c>
    </row>
    <row r="18" spans="1:20" x14ac:dyDescent="0.2">
      <c r="A18" s="45">
        <v>14</v>
      </c>
      <c r="B18" s="45" t="s">
        <v>90</v>
      </c>
      <c r="C18" s="46" t="s">
        <v>91</v>
      </c>
      <c r="D18" s="70" t="s">
        <v>53</v>
      </c>
      <c r="E18" s="69">
        <v>1470</v>
      </c>
      <c r="F18" s="49">
        <v>1470</v>
      </c>
      <c r="G18" s="50">
        <f t="shared" si="0"/>
        <v>110.25</v>
      </c>
      <c r="H18" s="50">
        <f t="shared" si="1"/>
        <v>209.47499999999999</v>
      </c>
      <c r="I18" s="51">
        <f t="shared" si="2"/>
        <v>51.166666666666664</v>
      </c>
      <c r="J18" s="52"/>
      <c r="K18" s="52">
        <v>0</v>
      </c>
      <c r="L18" s="53"/>
      <c r="M18" s="54">
        <f t="shared" si="3"/>
        <v>1308.5833333333333</v>
      </c>
      <c r="N18" s="55">
        <f t="shared" si="4"/>
        <v>1679.4749999999999</v>
      </c>
      <c r="O18" s="33" t="s">
        <v>54</v>
      </c>
      <c r="P18" s="60" t="s">
        <v>90</v>
      </c>
      <c r="Q18" s="60" t="s">
        <v>91</v>
      </c>
      <c r="R18" s="141" t="s">
        <v>55</v>
      </c>
      <c r="S18" s="62">
        <v>329111</v>
      </c>
      <c r="T18" s="60" t="s">
        <v>56</v>
      </c>
    </row>
    <row r="19" spans="1:20" x14ac:dyDescent="0.2">
      <c r="A19" s="45">
        <v>15</v>
      </c>
      <c r="B19" s="45" t="s">
        <v>92</v>
      </c>
      <c r="C19" s="46" t="s">
        <v>93</v>
      </c>
      <c r="D19" s="70" t="s">
        <v>94</v>
      </c>
      <c r="E19" s="69">
        <v>2840</v>
      </c>
      <c r="F19" s="49">
        <v>2840</v>
      </c>
      <c r="G19" s="50">
        <f t="shared" si="0"/>
        <v>213</v>
      </c>
      <c r="H19" s="50">
        <f t="shared" si="1"/>
        <v>404.7</v>
      </c>
      <c r="I19" s="51">
        <f t="shared" si="2"/>
        <v>143</v>
      </c>
      <c r="J19" s="52"/>
      <c r="K19" s="52">
        <v>0</v>
      </c>
      <c r="L19" s="53"/>
      <c r="M19" s="54">
        <f t="shared" si="3"/>
        <v>2484</v>
      </c>
      <c r="N19" s="55">
        <f t="shared" si="4"/>
        <v>3244.7</v>
      </c>
      <c r="O19" s="33" t="s">
        <v>69</v>
      </c>
      <c r="P19" s="60" t="s">
        <v>92</v>
      </c>
      <c r="Q19" s="60" t="s">
        <v>93</v>
      </c>
      <c r="R19" s="141" t="s">
        <v>55</v>
      </c>
      <c r="S19" s="62">
        <v>329111</v>
      </c>
      <c r="T19" s="60" t="s">
        <v>56</v>
      </c>
    </row>
    <row r="20" spans="1:20" x14ac:dyDescent="0.2">
      <c r="A20" s="45">
        <v>16</v>
      </c>
      <c r="B20" s="45" t="s">
        <v>95</v>
      </c>
      <c r="C20" s="46" t="s">
        <v>96</v>
      </c>
      <c r="D20" s="70" t="s">
        <v>97</v>
      </c>
      <c r="E20" s="68">
        <v>925</v>
      </c>
      <c r="F20" s="52">
        <v>925</v>
      </c>
      <c r="G20" s="50">
        <f t="shared" si="0"/>
        <v>69.375</v>
      </c>
      <c r="H20" s="50">
        <f t="shared" si="1"/>
        <v>131.8125</v>
      </c>
      <c r="I20" s="51">
        <f t="shared" si="2"/>
        <v>8.75</v>
      </c>
      <c r="J20" s="52"/>
      <c r="K20" s="52">
        <v>0</v>
      </c>
      <c r="L20" s="53"/>
      <c r="M20" s="54">
        <f t="shared" si="3"/>
        <v>846.875</v>
      </c>
      <c r="N20" s="55">
        <f t="shared" si="4"/>
        <v>1056.8125</v>
      </c>
      <c r="O20" s="33" t="s">
        <v>54</v>
      </c>
      <c r="P20" s="60" t="s">
        <v>95</v>
      </c>
      <c r="Q20" s="60" t="s">
        <v>96</v>
      </c>
      <c r="R20" s="141" t="s">
        <v>59</v>
      </c>
      <c r="S20" s="62">
        <v>323111</v>
      </c>
      <c r="T20" s="60" t="s">
        <v>56</v>
      </c>
    </row>
    <row r="21" spans="1:20" x14ac:dyDescent="0.2">
      <c r="A21" s="45">
        <v>17</v>
      </c>
      <c r="B21" s="45" t="s">
        <v>98</v>
      </c>
      <c r="C21" s="46" t="s">
        <v>99</v>
      </c>
      <c r="D21" s="70" t="s">
        <v>100</v>
      </c>
      <c r="E21" s="68">
        <v>1675</v>
      </c>
      <c r="F21" s="52">
        <v>1675</v>
      </c>
      <c r="G21" s="50">
        <f t="shared" si="0"/>
        <v>125.625</v>
      </c>
      <c r="H21" s="50">
        <f t="shared" si="1"/>
        <v>238.68749999999997</v>
      </c>
      <c r="I21" s="51">
        <f t="shared" si="2"/>
        <v>8.75</v>
      </c>
      <c r="J21" s="52"/>
      <c r="K21" s="52">
        <v>0</v>
      </c>
      <c r="L21" s="53"/>
      <c r="M21" s="54">
        <f t="shared" si="3"/>
        <v>1540.625</v>
      </c>
      <c r="N21" s="55">
        <f t="shared" si="4"/>
        <v>1913.6875</v>
      </c>
      <c r="O21" s="33" t="s">
        <v>69</v>
      </c>
      <c r="P21" s="60" t="s">
        <v>98</v>
      </c>
      <c r="Q21" s="60" t="s">
        <v>99</v>
      </c>
      <c r="R21" s="141" t="s">
        <v>101</v>
      </c>
      <c r="S21" s="62">
        <v>349311</v>
      </c>
      <c r="T21" s="60" t="s">
        <v>102</v>
      </c>
    </row>
    <row r="22" spans="1:20" x14ac:dyDescent="0.2">
      <c r="A22" s="45">
        <v>18</v>
      </c>
      <c r="B22" s="45" t="s">
        <v>103</v>
      </c>
      <c r="C22" s="46" t="s">
        <v>104</v>
      </c>
      <c r="D22" s="70" t="s">
        <v>82</v>
      </c>
      <c r="E22" s="68">
        <v>1012</v>
      </c>
      <c r="F22" s="52">
        <v>1012</v>
      </c>
      <c r="G22" s="50">
        <f t="shared" si="0"/>
        <v>75.899999999999991</v>
      </c>
      <c r="H22" s="50">
        <f t="shared" si="1"/>
        <v>144.20999999999998</v>
      </c>
      <c r="I22" s="51">
        <f t="shared" si="2"/>
        <v>13.100000000000001</v>
      </c>
      <c r="J22" s="52"/>
      <c r="K22" s="52">
        <v>0</v>
      </c>
      <c r="L22" s="53"/>
      <c r="M22" s="54">
        <f t="shared" si="3"/>
        <v>923</v>
      </c>
      <c r="N22" s="55">
        <f t="shared" si="4"/>
        <v>1156.21</v>
      </c>
      <c r="O22" s="33" t="s">
        <v>54</v>
      </c>
      <c r="P22" s="60" t="s">
        <v>103</v>
      </c>
      <c r="Q22" s="60" t="s">
        <v>104</v>
      </c>
      <c r="R22" s="141" t="s">
        <v>59</v>
      </c>
      <c r="S22" s="62">
        <v>329111</v>
      </c>
      <c r="T22" s="60" t="s">
        <v>56</v>
      </c>
    </row>
    <row r="23" spans="1:20" ht="15" thickBot="1" x14ac:dyDescent="0.25">
      <c r="A23" s="45">
        <v>19</v>
      </c>
      <c r="B23" s="45" t="s">
        <v>105</v>
      </c>
      <c r="C23" s="46" t="s">
        <v>106</v>
      </c>
      <c r="D23" s="70" t="s">
        <v>82</v>
      </c>
      <c r="E23" s="68">
        <v>1193</v>
      </c>
      <c r="F23" s="52">
        <v>1193</v>
      </c>
      <c r="G23" s="50">
        <f t="shared" si="0"/>
        <v>89.474999999999994</v>
      </c>
      <c r="H23" s="50">
        <f t="shared" si="1"/>
        <v>170.0025</v>
      </c>
      <c r="I23" s="51">
        <f t="shared" si="2"/>
        <v>23.466666666666669</v>
      </c>
      <c r="J23" s="52"/>
      <c r="K23" s="52">
        <v>0</v>
      </c>
      <c r="L23" s="53"/>
      <c r="M23" s="54">
        <f t="shared" si="3"/>
        <v>1080.0583333333334</v>
      </c>
      <c r="N23" s="55">
        <f t="shared" si="4"/>
        <v>1363.0025000000001</v>
      </c>
      <c r="O23" s="33" t="s">
        <v>54</v>
      </c>
      <c r="P23" s="60" t="s">
        <v>105</v>
      </c>
      <c r="Q23" s="60" t="s">
        <v>106</v>
      </c>
      <c r="R23" s="141" t="s">
        <v>59</v>
      </c>
      <c r="S23" s="62">
        <v>329111</v>
      </c>
      <c r="T23" s="60" t="s">
        <v>56</v>
      </c>
    </row>
    <row r="24" spans="1:20" x14ac:dyDescent="0.2">
      <c r="A24" s="63">
        <v>20</v>
      </c>
      <c r="B24" s="71" t="s">
        <v>107</v>
      </c>
      <c r="C24" s="46" t="s">
        <v>108</v>
      </c>
      <c r="D24" s="70" t="s">
        <v>109</v>
      </c>
      <c r="E24" s="68">
        <v>2500</v>
      </c>
      <c r="F24" s="52">
        <v>2500</v>
      </c>
      <c r="G24" s="50">
        <f t="shared" si="0"/>
        <v>187.5</v>
      </c>
      <c r="H24" s="50">
        <f t="shared" si="1"/>
        <v>356.24999999999994</v>
      </c>
      <c r="I24" s="51">
        <f t="shared" si="2"/>
        <v>87.5</v>
      </c>
      <c r="J24" s="52"/>
      <c r="K24" s="52">
        <v>0</v>
      </c>
      <c r="L24" s="53"/>
      <c r="M24" s="54">
        <f t="shared" si="3"/>
        <v>2225</v>
      </c>
      <c r="N24" s="55">
        <f t="shared" si="4"/>
        <v>2856.25</v>
      </c>
      <c r="O24" s="33" t="s">
        <v>69</v>
      </c>
      <c r="P24" s="60" t="s">
        <v>107</v>
      </c>
      <c r="Q24" s="60" t="s">
        <v>108</v>
      </c>
      <c r="R24" s="141" t="s">
        <v>59</v>
      </c>
      <c r="S24" s="62">
        <v>122111</v>
      </c>
      <c r="T24" s="60" t="s">
        <v>110</v>
      </c>
    </row>
    <row r="25" spans="1:20" x14ac:dyDescent="0.2">
      <c r="A25" s="45">
        <v>21</v>
      </c>
      <c r="B25" s="45" t="s">
        <v>111</v>
      </c>
      <c r="C25" s="46" t="s">
        <v>112</v>
      </c>
      <c r="D25" s="70" t="s">
        <v>82</v>
      </c>
      <c r="E25" s="68">
        <v>1012</v>
      </c>
      <c r="F25" s="52">
        <v>1012</v>
      </c>
      <c r="G25" s="50">
        <f t="shared" si="0"/>
        <v>75.899999999999991</v>
      </c>
      <c r="H25" s="50">
        <f t="shared" si="1"/>
        <v>144.20999999999998</v>
      </c>
      <c r="I25" s="51">
        <f t="shared" si="2"/>
        <v>13.100000000000001</v>
      </c>
      <c r="J25" s="52"/>
      <c r="K25" s="52">
        <v>0</v>
      </c>
      <c r="L25" s="53"/>
      <c r="M25" s="54">
        <f t="shared" si="3"/>
        <v>923</v>
      </c>
      <c r="N25" s="55">
        <f t="shared" si="4"/>
        <v>1156.21</v>
      </c>
      <c r="O25" s="33" t="s">
        <v>54</v>
      </c>
      <c r="P25" s="60" t="s">
        <v>111</v>
      </c>
      <c r="Q25" s="60" t="s">
        <v>112</v>
      </c>
      <c r="R25" s="141" t="s">
        <v>59</v>
      </c>
      <c r="S25" s="62">
        <v>329111</v>
      </c>
      <c r="T25" s="60" t="s">
        <v>56</v>
      </c>
    </row>
    <row r="26" spans="1:20" x14ac:dyDescent="0.2">
      <c r="A26" s="45">
        <v>22</v>
      </c>
      <c r="B26" s="45" t="s">
        <v>113</v>
      </c>
      <c r="C26" s="46" t="s">
        <v>114</v>
      </c>
      <c r="D26" s="70" t="s">
        <v>82</v>
      </c>
      <c r="E26" s="68">
        <v>976</v>
      </c>
      <c r="F26" s="52">
        <v>976</v>
      </c>
      <c r="G26" s="50">
        <f t="shared" si="0"/>
        <v>73.2</v>
      </c>
      <c r="H26" s="50">
        <f t="shared" si="1"/>
        <v>139.07999999999998</v>
      </c>
      <c r="I26" s="51">
        <f t="shared" si="2"/>
        <v>11.299999999999999</v>
      </c>
      <c r="J26" s="52"/>
      <c r="K26" s="52">
        <v>0</v>
      </c>
      <c r="L26" s="53"/>
      <c r="M26" s="54">
        <f t="shared" si="3"/>
        <v>891.5</v>
      </c>
      <c r="N26" s="55">
        <f t="shared" si="4"/>
        <v>1115.08</v>
      </c>
      <c r="O26" s="33" t="s">
        <v>54</v>
      </c>
      <c r="P26" s="60" t="s">
        <v>113</v>
      </c>
      <c r="Q26" s="60" t="s">
        <v>114</v>
      </c>
      <c r="R26" s="141" t="s">
        <v>59</v>
      </c>
      <c r="S26" s="62">
        <v>329111</v>
      </c>
      <c r="T26" s="60" t="s">
        <v>56</v>
      </c>
    </row>
    <row r="27" spans="1:20" x14ac:dyDescent="0.2">
      <c r="A27" s="45">
        <v>23</v>
      </c>
      <c r="B27" s="45" t="s">
        <v>115</v>
      </c>
      <c r="C27" s="46" t="s">
        <v>116</v>
      </c>
      <c r="D27" s="70" t="s">
        <v>82</v>
      </c>
      <c r="E27" s="68">
        <v>1012</v>
      </c>
      <c r="F27" s="52">
        <v>1012</v>
      </c>
      <c r="G27" s="50">
        <f t="shared" si="0"/>
        <v>75.899999999999991</v>
      </c>
      <c r="H27" s="50">
        <f t="shared" si="1"/>
        <v>144.20999999999998</v>
      </c>
      <c r="I27" s="51">
        <f t="shared" si="2"/>
        <v>13.100000000000001</v>
      </c>
      <c r="J27" s="52"/>
      <c r="K27" s="52">
        <v>0</v>
      </c>
      <c r="L27" s="53"/>
      <c r="M27" s="54">
        <f t="shared" si="3"/>
        <v>923</v>
      </c>
      <c r="N27" s="55">
        <f t="shared" si="4"/>
        <v>1156.21</v>
      </c>
      <c r="O27" s="33" t="s">
        <v>54</v>
      </c>
      <c r="P27" s="60" t="s">
        <v>115</v>
      </c>
      <c r="Q27" s="60" t="s">
        <v>116</v>
      </c>
      <c r="R27" s="141" t="s">
        <v>59</v>
      </c>
      <c r="S27" s="62">
        <v>329111</v>
      </c>
      <c r="T27" s="60" t="s">
        <v>56</v>
      </c>
    </row>
    <row r="28" spans="1:20" x14ac:dyDescent="0.2">
      <c r="A28" s="45">
        <v>24</v>
      </c>
      <c r="B28" s="71" t="s">
        <v>117</v>
      </c>
      <c r="C28" s="46" t="s">
        <v>118</v>
      </c>
      <c r="D28" s="70" t="s">
        <v>97</v>
      </c>
      <c r="E28" s="68">
        <v>1000</v>
      </c>
      <c r="F28" s="52">
        <v>1000</v>
      </c>
      <c r="G28" s="50">
        <f t="shared" si="0"/>
        <v>75</v>
      </c>
      <c r="H28" s="50">
        <f t="shared" si="1"/>
        <v>142.5</v>
      </c>
      <c r="I28" s="51">
        <f t="shared" si="2"/>
        <v>12.5</v>
      </c>
      <c r="J28" s="52"/>
      <c r="K28" s="52">
        <v>0</v>
      </c>
      <c r="L28" s="53"/>
      <c r="M28" s="54">
        <f t="shared" si="3"/>
        <v>912.5</v>
      </c>
      <c r="N28" s="55">
        <f t="shared" si="4"/>
        <v>1142.5</v>
      </c>
      <c r="O28" s="33" t="s">
        <v>54</v>
      </c>
      <c r="P28" s="60" t="s">
        <v>117</v>
      </c>
      <c r="Q28" s="60" t="s">
        <v>118</v>
      </c>
      <c r="R28" s="141" t="s">
        <v>59</v>
      </c>
      <c r="S28" s="62">
        <v>323111</v>
      </c>
      <c r="T28" s="60" t="s">
        <v>56</v>
      </c>
    </row>
    <row r="29" spans="1:20" x14ac:dyDescent="0.2">
      <c r="A29" s="45">
        <v>25</v>
      </c>
      <c r="B29" s="71" t="s">
        <v>119</v>
      </c>
      <c r="C29" s="46" t="s">
        <v>120</v>
      </c>
      <c r="D29" s="70" t="s">
        <v>85</v>
      </c>
      <c r="E29" s="68">
        <v>1705</v>
      </c>
      <c r="F29" s="52">
        <v>1705</v>
      </c>
      <c r="G29" s="50">
        <f t="shared" si="0"/>
        <v>127.875</v>
      </c>
      <c r="H29" s="50">
        <f t="shared" si="1"/>
        <v>242.96249999999998</v>
      </c>
      <c r="I29" s="51">
        <f t="shared" si="2"/>
        <v>80.75</v>
      </c>
      <c r="J29" s="52"/>
      <c r="K29" s="52">
        <v>0</v>
      </c>
      <c r="L29" s="53"/>
      <c r="M29" s="54">
        <f t="shared" si="3"/>
        <v>1496.375</v>
      </c>
      <c r="N29" s="55">
        <f t="shared" si="4"/>
        <v>1947.9625000000001</v>
      </c>
      <c r="O29" s="33" t="s">
        <v>54</v>
      </c>
      <c r="P29" s="60" t="s">
        <v>119</v>
      </c>
      <c r="Q29" s="60" t="s">
        <v>120</v>
      </c>
      <c r="R29" s="141" t="s">
        <v>59</v>
      </c>
      <c r="S29" s="62">
        <v>323111</v>
      </c>
      <c r="T29" s="60" t="s">
        <v>56</v>
      </c>
    </row>
    <row r="30" spans="1:20" x14ac:dyDescent="0.2">
      <c r="A30" s="45">
        <v>26</v>
      </c>
      <c r="B30" s="71" t="s">
        <v>121</v>
      </c>
      <c r="C30" s="46" t="s">
        <v>122</v>
      </c>
      <c r="D30" s="70" t="s">
        <v>123</v>
      </c>
      <c r="E30" s="68">
        <v>1633</v>
      </c>
      <c r="F30" s="52">
        <v>1633</v>
      </c>
      <c r="G30" s="50">
        <f t="shared" si="0"/>
        <v>122.47499999999999</v>
      </c>
      <c r="H30" s="50">
        <f t="shared" si="1"/>
        <v>232.70249999999999</v>
      </c>
      <c r="I30" s="51">
        <f t="shared" si="2"/>
        <v>69.95</v>
      </c>
      <c r="J30" s="52"/>
      <c r="K30" s="52">
        <v>0</v>
      </c>
      <c r="L30" s="53"/>
      <c r="M30" s="54">
        <f t="shared" si="3"/>
        <v>1440.575</v>
      </c>
      <c r="N30" s="55">
        <f t="shared" si="4"/>
        <v>1865.7024999999999</v>
      </c>
      <c r="O30" s="33" t="s">
        <v>54</v>
      </c>
      <c r="P30" s="60" t="s">
        <v>121</v>
      </c>
      <c r="Q30" s="60" t="s">
        <v>122</v>
      </c>
      <c r="R30" s="141" t="s">
        <v>59</v>
      </c>
      <c r="S30" s="62">
        <v>323111</v>
      </c>
      <c r="T30" s="60" t="s">
        <v>56</v>
      </c>
    </row>
    <row r="31" spans="1:20" ht="15" thickBot="1" x14ac:dyDescent="0.25">
      <c r="A31" s="45">
        <v>27</v>
      </c>
      <c r="B31" s="71" t="s">
        <v>124</v>
      </c>
      <c r="C31" s="46" t="s">
        <v>125</v>
      </c>
      <c r="D31" s="70" t="s">
        <v>77</v>
      </c>
      <c r="E31" s="68">
        <v>1450</v>
      </c>
      <c r="F31" s="52">
        <v>1450</v>
      </c>
      <c r="G31" s="50">
        <f t="shared" si="0"/>
        <v>108.75</v>
      </c>
      <c r="H31" s="50">
        <f t="shared" si="1"/>
        <v>206.62499999999997</v>
      </c>
      <c r="I31" s="51">
        <f t="shared" si="2"/>
        <v>49.166666666666664</v>
      </c>
      <c r="J31" s="52"/>
      <c r="K31" s="52">
        <v>0</v>
      </c>
      <c r="L31" s="53"/>
      <c r="M31" s="54">
        <f t="shared" si="3"/>
        <v>1292.0833333333333</v>
      </c>
      <c r="N31" s="55">
        <f t="shared" si="4"/>
        <v>1656.625</v>
      </c>
      <c r="O31" s="33" t="s">
        <v>54</v>
      </c>
      <c r="P31" s="60" t="s">
        <v>124</v>
      </c>
      <c r="Q31" s="60" t="s">
        <v>125</v>
      </c>
      <c r="R31" s="141" t="s">
        <v>59</v>
      </c>
      <c r="S31" s="62">
        <v>323111</v>
      </c>
      <c r="T31" s="60" t="s">
        <v>56</v>
      </c>
    </row>
    <row r="32" spans="1:20" x14ac:dyDescent="0.2">
      <c r="A32" s="63">
        <v>28</v>
      </c>
      <c r="B32" s="71" t="s">
        <v>126</v>
      </c>
      <c r="C32" s="46" t="s">
        <v>127</v>
      </c>
      <c r="D32" s="70" t="s">
        <v>128</v>
      </c>
      <c r="E32" s="68">
        <v>615</v>
      </c>
      <c r="F32" s="52">
        <v>615</v>
      </c>
      <c r="G32" s="50">
        <f t="shared" si="0"/>
        <v>46.125</v>
      </c>
      <c r="H32" s="50">
        <f t="shared" si="1"/>
        <v>87.637499999999989</v>
      </c>
      <c r="I32" s="51">
        <f t="shared" si="2"/>
        <v>0</v>
      </c>
      <c r="J32" s="52"/>
      <c r="K32" s="52">
        <v>0</v>
      </c>
      <c r="L32" s="53"/>
      <c r="M32" s="54">
        <f t="shared" si="3"/>
        <v>568.875</v>
      </c>
      <c r="N32" s="55">
        <f t="shared" si="4"/>
        <v>702.63750000000005</v>
      </c>
      <c r="O32" s="33" t="s">
        <v>54</v>
      </c>
      <c r="P32" s="60" t="s">
        <v>126</v>
      </c>
      <c r="Q32" s="60" t="s">
        <v>127</v>
      </c>
      <c r="R32" s="141" t="s">
        <v>59</v>
      </c>
      <c r="S32" s="62">
        <v>325311</v>
      </c>
      <c r="T32" s="72" t="s">
        <v>56</v>
      </c>
    </row>
    <row r="33" spans="1:20" x14ac:dyDescent="0.2">
      <c r="A33" s="45">
        <v>29</v>
      </c>
      <c r="B33" s="71" t="s">
        <v>129</v>
      </c>
      <c r="C33" s="46" t="s">
        <v>130</v>
      </c>
      <c r="D33" s="70" t="s">
        <v>85</v>
      </c>
      <c r="E33" s="68">
        <v>1193</v>
      </c>
      <c r="F33" s="52">
        <v>1193</v>
      </c>
      <c r="G33" s="50">
        <f t="shared" si="0"/>
        <v>89.474999999999994</v>
      </c>
      <c r="H33" s="50">
        <f t="shared" si="1"/>
        <v>170.0025</v>
      </c>
      <c r="I33" s="51">
        <f t="shared" si="2"/>
        <v>23.466666666666669</v>
      </c>
      <c r="J33" s="52"/>
      <c r="K33" s="52">
        <v>0</v>
      </c>
      <c r="L33" s="53"/>
      <c r="M33" s="54">
        <f t="shared" si="3"/>
        <v>1080.0583333333334</v>
      </c>
      <c r="N33" s="55">
        <f t="shared" si="4"/>
        <v>1363.0025000000001</v>
      </c>
      <c r="O33" s="33" t="s">
        <v>54</v>
      </c>
      <c r="P33" s="60" t="s">
        <v>129</v>
      </c>
      <c r="Q33" s="60" t="s">
        <v>130</v>
      </c>
      <c r="R33" s="141" t="s">
        <v>59</v>
      </c>
      <c r="S33" s="62">
        <v>323111</v>
      </c>
      <c r="T33" s="60" t="s">
        <v>56</v>
      </c>
    </row>
    <row r="34" spans="1:20" x14ac:dyDescent="0.2">
      <c r="A34" s="45">
        <v>30</v>
      </c>
      <c r="B34" s="71" t="s">
        <v>131</v>
      </c>
      <c r="C34" s="46" t="s">
        <v>132</v>
      </c>
      <c r="D34" s="70" t="s">
        <v>133</v>
      </c>
      <c r="E34" s="68">
        <v>2272</v>
      </c>
      <c r="F34" s="52">
        <v>2272</v>
      </c>
      <c r="G34" s="50">
        <f t="shared" si="0"/>
        <v>170.4</v>
      </c>
      <c r="H34" s="50">
        <f t="shared" si="1"/>
        <v>323.76</v>
      </c>
      <c r="I34" s="51">
        <f t="shared" si="2"/>
        <v>179.4</v>
      </c>
      <c r="J34" s="52"/>
      <c r="K34" s="52">
        <v>0</v>
      </c>
      <c r="L34" s="53"/>
      <c r="M34" s="54">
        <f t="shared" si="3"/>
        <v>1922.2</v>
      </c>
      <c r="N34" s="55">
        <f t="shared" si="4"/>
        <v>2595.7600000000002</v>
      </c>
      <c r="O34" s="33" t="s">
        <v>54</v>
      </c>
      <c r="P34" s="60" t="s">
        <v>131</v>
      </c>
      <c r="Q34" s="60" t="s">
        <v>132</v>
      </c>
      <c r="R34" s="141" t="s">
        <v>59</v>
      </c>
      <c r="S34" s="62">
        <v>323111</v>
      </c>
      <c r="T34" s="60" t="s">
        <v>56</v>
      </c>
    </row>
    <row r="35" spans="1:20" x14ac:dyDescent="0.2">
      <c r="A35" s="45">
        <v>31</v>
      </c>
      <c r="B35" s="71" t="s">
        <v>134</v>
      </c>
      <c r="C35" s="46" t="s">
        <v>135</v>
      </c>
      <c r="D35" s="70" t="s">
        <v>136</v>
      </c>
      <c r="E35" s="68">
        <v>815</v>
      </c>
      <c r="F35" s="52">
        <v>815</v>
      </c>
      <c r="G35" s="50">
        <f t="shared" si="0"/>
        <v>61.125</v>
      </c>
      <c r="H35" s="50">
        <f t="shared" si="1"/>
        <v>116.13749999999999</v>
      </c>
      <c r="I35" s="51">
        <f t="shared" si="2"/>
        <v>3.25</v>
      </c>
      <c r="J35" s="52"/>
      <c r="K35" s="52">
        <v>0</v>
      </c>
      <c r="L35" s="53"/>
      <c r="M35" s="54">
        <f t="shared" si="3"/>
        <v>750.625</v>
      </c>
      <c r="N35" s="55">
        <f t="shared" si="4"/>
        <v>931.13750000000005</v>
      </c>
      <c r="O35" s="33" t="s">
        <v>54</v>
      </c>
      <c r="P35" s="60" t="s">
        <v>134</v>
      </c>
      <c r="Q35" s="60" t="s">
        <v>135</v>
      </c>
      <c r="R35" s="141" t="s">
        <v>137</v>
      </c>
      <c r="S35" s="62">
        <v>311311</v>
      </c>
      <c r="T35" s="60" t="s">
        <v>138</v>
      </c>
    </row>
    <row r="36" spans="1:20" x14ac:dyDescent="0.2">
      <c r="A36" s="45">
        <v>32</v>
      </c>
      <c r="B36" s="71" t="s">
        <v>139</v>
      </c>
      <c r="C36" s="46" t="s">
        <v>140</v>
      </c>
      <c r="D36" s="70" t="s">
        <v>65</v>
      </c>
      <c r="E36" s="68">
        <v>1022</v>
      </c>
      <c r="F36" s="52">
        <v>1022</v>
      </c>
      <c r="G36" s="50">
        <f t="shared" si="0"/>
        <v>76.649999999999991</v>
      </c>
      <c r="H36" s="50">
        <f t="shared" si="1"/>
        <v>145.63499999999999</v>
      </c>
      <c r="I36" s="51">
        <f t="shared" si="2"/>
        <v>0</v>
      </c>
      <c r="J36" s="52"/>
      <c r="K36" s="52">
        <v>0</v>
      </c>
      <c r="L36" s="53"/>
      <c r="M36" s="54">
        <f t="shared" si="3"/>
        <v>945.35</v>
      </c>
      <c r="N36" s="55">
        <f t="shared" si="4"/>
        <v>1167.635</v>
      </c>
      <c r="O36" s="33" t="s">
        <v>69</v>
      </c>
      <c r="P36" s="60" t="s">
        <v>139</v>
      </c>
      <c r="Q36" s="60" t="s">
        <v>140</v>
      </c>
      <c r="R36" s="141" t="s">
        <v>59</v>
      </c>
      <c r="S36" s="62">
        <v>323111</v>
      </c>
      <c r="T36" s="60" t="s">
        <v>56</v>
      </c>
    </row>
    <row r="37" spans="1:20" x14ac:dyDescent="0.2">
      <c r="A37" s="45">
        <v>33</v>
      </c>
      <c r="B37" s="71" t="s">
        <v>141</v>
      </c>
      <c r="C37" s="46" t="s">
        <v>142</v>
      </c>
      <c r="D37" s="70" t="s">
        <v>143</v>
      </c>
      <c r="E37" s="68">
        <v>2800</v>
      </c>
      <c r="F37" s="52">
        <v>2800</v>
      </c>
      <c r="G37" s="50">
        <f t="shared" si="0"/>
        <v>210</v>
      </c>
      <c r="H37" s="50">
        <f t="shared" si="1"/>
        <v>398.99999999999994</v>
      </c>
      <c r="I37" s="51">
        <f t="shared" si="2"/>
        <v>135</v>
      </c>
      <c r="J37" s="52"/>
      <c r="K37" s="52">
        <v>0</v>
      </c>
      <c r="L37" s="53"/>
      <c r="M37" s="54">
        <f t="shared" si="3"/>
        <v>2455</v>
      </c>
      <c r="N37" s="55">
        <f t="shared" si="4"/>
        <v>3199</v>
      </c>
      <c r="O37" s="33" t="s">
        <v>69</v>
      </c>
      <c r="P37" s="60" t="s">
        <v>141</v>
      </c>
      <c r="Q37" s="60" t="s">
        <v>142</v>
      </c>
      <c r="R37" s="141" t="s">
        <v>59</v>
      </c>
      <c r="S37" s="62">
        <v>323111</v>
      </c>
      <c r="T37" s="60" t="s">
        <v>56</v>
      </c>
    </row>
    <row r="38" spans="1:20" x14ac:dyDescent="0.2">
      <c r="A38" s="45">
        <v>34</v>
      </c>
      <c r="B38" s="71" t="s">
        <v>144</v>
      </c>
      <c r="C38" s="46" t="s">
        <v>145</v>
      </c>
      <c r="D38" s="70" t="s">
        <v>65</v>
      </c>
      <c r="E38" s="68">
        <v>1065</v>
      </c>
      <c r="F38" s="52">
        <v>1065</v>
      </c>
      <c r="G38" s="50">
        <f t="shared" si="0"/>
        <v>79.875</v>
      </c>
      <c r="H38" s="50">
        <f t="shared" si="1"/>
        <v>151.76249999999999</v>
      </c>
      <c r="I38" s="51">
        <f t="shared" si="2"/>
        <v>15.75</v>
      </c>
      <c r="J38" s="52"/>
      <c r="K38" s="52">
        <v>0</v>
      </c>
      <c r="L38" s="53"/>
      <c r="M38" s="54">
        <f t="shared" si="3"/>
        <v>969.375</v>
      </c>
      <c r="N38" s="55">
        <f t="shared" si="4"/>
        <v>1216.7625</v>
      </c>
      <c r="O38" s="33" t="s">
        <v>54</v>
      </c>
      <c r="P38" s="60" t="s">
        <v>144</v>
      </c>
      <c r="Q38" s="60" t="s">
        <v>145</v>
      </c>
      <c r="R38" s="141" t="s">
        <v>59</v>
      </c>
      <c r="S38" s="62">
        <v>323111</v>
      </c>
      <c r="T38" s="60" t="s">
        <v>56</v>
      </c>
    </row>
    <row r="39" spans="1:20" ht="15" thickBot="1" x14ac:dyDescent="0.25">
      <c r="A39" s="45">
        <v>35</v>
      </c>
      <c r="B39" s="71" t="s">
        <v>146</v>
      </c>
      <c r="C39" s="46" t="s">
        <v>147</v>
      </c>
      <c r="D39" s="70" t="s">
        <v>148</v>
      </c>
      <c r="E39" s="68">
        <v>1600</v>
      </c>
      <c r="F39" s="52">
        <v>1600</v>
      </c>
      <c r="G39" s="50">
        <f t="shared" si="0"/>
        <v>120</v>
      </c>
      <c r="H39" s="50">
        <f t="shared" si="1"/>
        <v>227.99999999999997</v>
      </c>
      <c r="I39" s="51">
        <f t="shared" si="2"/>
        <v>5</v>
      </c>
      <c r="J39" s="52"/>
      <c r="K39" s="52">
        <v>0</v>
      </c>
      <c r="L39" s="53"/>
      <c r="M39" s="54">
        <f t="shared" si="3"/>
        <v>1475</v>
      </c>
      <c r="N39" s="55">
        <f t="shared" si="4"/>
        <v>1828</v>
      </c>
      <c r="O39" s="33" t="s">
        <v>69</v>
      </c>
      <c r="P39" s="60" t="s">
        <v>146</v>
      </c>
      <c r="Q39" s="60" t="s">
        <v>147</v>
      </c>
      <c r="R39" s="141" t="s">
        <v>101</v>
      </c>
      <c r="S39" s="62">
        <v>349311</v>
      </c>
      <c r="T39" s="60" t="s">
        <v>102</v>
      </c>
    </row>
    <row r="40" spans="1:20" x14ac:dyDescent="0.2">
      <c r="A40" s="63">
        <v>36</v>
      </c>
      <c r="B40" s="71" t="s">
        <v>149</v>
      </c>
      <c r="C40" s="46" t="s">
        <v>150</v>
      </c>
      <c r="D40" s="70" t="s">
        <v>143</v>
      </c>
      <c r="E40" s="68">
        <v>2740</v>
      </c>
      <c r="F40" s="52">
        <v>2740</v>
      </c>
      <c r="G40" s="50">
        <f t="shared" si="0"/>
        <v>205.5</v>
      </c>
      <c r="H40" s="50">
        <f t="shared" si="1"/>
        <v>390.45</v>
      </c>
      <c r="I40" s="51">
        <f t="shared" si="2"/>
        <v>123.5</v>
      </c>
      <c r="J40" s="52"/>
      <c r="K40" s="52">
        <v>0</v>
      </c>
      <c r="L40" s="53"/>
      <c r="M40" s="54">
        <f t="shared" si="3"/>
        <v>2411</v>
      </c>
      <c r="N40" s="55">
        <f t="shared" si="4"/>
        <v>3130.45</v>
      </c>
      <c r="O40" s="33" t="s">
        <v>69</v>
      </c>
      <c r="P40" s="60" t="s">
        <v>149</v>
      </c>
      <c r="Q40" s="60" t="s">
        <v>150</v>
      </c>
      <c r="R40" s="141" t="s">
        <v>59</v>
      </c>
      <c r="S40" s="62">
        <v>323111</v>
      </c>
      <c r="T40" s="60" t="s">
        <v>56</v>
      </c>
    </row>
    <row r="41" spans="1:20" x14ac:dyDescent="0.2">
      <c r="A41" s="45">
        <v>37</v>
      </c>
      <c r="B41" s="71" t="s">
        <v>151</v>
      </c>
      <c r="C41" s="46" t="s">
        <v>152</v>
      </c>
      <c r="D41" s="70" t="s">
        <v>143</v>
      </c>
      <c r="E41" s="68">
        <v>2270</v>
      </c>
      <c r="F41" s="52">
        <v>2270</v>
      </c>
      <c r="G41" s="50">
        <f t="shared" si="0"/>
        <v>170.25</v>
      </c>
      <c r="H41" s="50">
        <f t="shared" si="1"/>
        <v>323.47499999999997</v>
      </c>
      <c r="I41" s="51">
        <f t="shared" si="2"/>
        <v>179</v>
      </c>
      <c r="J41" s="52"/>
      <c r="K41" s="52">
        <v>0</v>
      </c>
      <c r="L41" s="53"/>
      <c r="M41" s="54">
        <f t="shared" si="3"/>
        <v>1920.75</v>
      </c>
      <c r="N41" s="55">
        <f t="shared" si="4"/>
        <v>2593.4749999999999</v>
      </c>
      <c r="O41" s="33" t="s">
        <v>54</v>
      </c>
      <c r="P41" s="60" t="s">
        <v>151</v>
      </c>
      <c r="Q41" s="60" t="s">
        <v>152</v>
      </c>
      <c r="R41" s="141" t="s">
        <v>59</v>
      </c>
      <c r="S41" s="62">
        <v>323111</v>
      </c>
      <c r="T41" s="60" t="s">
        <v>56</v>
      </c>
    </row>
    <row r="42" spans="1:20" x14ac:dyDescent="0.2">
      <c r="A42" s="45">
        <v>38</v>
      </c>
      <c r="B42" s="71" t="s">
        <v>153</v>
      </c>
      <c r="C42" s="46" t="s">
        <v>154</v>
      </c>
      <c r="D42" s="70" t="s">
        <v>97</v>
      </c>
      <c r="E42" s="68">
        <v>900</v>
      </c>
      <c r="F42" s="52">
        <v>900</v>
      </c>
      <c r="G42" s="50">
        <f t="shared" si="0"/>
        <v>67.5</v>
      </c>
      <c r="H42" s="50">
        <f t="shared" si="1"/>
        <v>128.25</v>
      </c>
      <c r="I42" s="51">
        <f t="shared" si="2"/>
        <v>7.5</v>
      </c>
      <c r="J42" s="52"/>
      <c r="K42" s="52">
        <v>0</v>
      </c>
      <c r="L42" s="53"/>
      <c r="M42" s="54">
        <f t="shared" si="3"/>
        <v>825</v>
      </c>
      <c r="N42" s="55">
        <f t="shared" si="4"/>
        <v>1028.25</v>
      </c>
      <c r="O42" s="33" t="s">
        <v>54</v>
      </c>
      <c r="P42" s="60" t="s">
        <v>153</v>
      </c>
      <c r="Q42" s="60" t="s">
        <v>154</v>
      </c>
      <c r="R42" s="141" t="s">
        <v>59</v>
      </c>
      <c r="S42" s="62">
        <v>323111</v>
      </c>
      <c r="T42" s="60" t="s">
        <v>56</v>
      </c>
    </row>
    <row r="43" spans="1:20" x14ac:dyDescent="0.2">
      <c r="A43" s="45">
        <v>39</v>
      </c>
      <c r="B43" s="71" t="s">
        <v>155</v>
      </c>
      <c r="C43" s="46" t="s">
        <v>156</v>
      </c>
      <c r="D43" s="70" t="s">
        <v>157</v>
      </c>
      <c r="E43" s="69">
        <v>1193</v>
      </c>
      <c r="F43" s="49">
        <v>1193</v>
      </c>
      <c r="G43" s="50">
        <f t="shared" si="0"/>
        <v>89.474999999999994</v>
      </c>
      <c r="H43" s="50">
        <f t="shared" si="1"/>
        <v>170.0025</v>
      </c>
      <c r="I43" s="51">
        <f t="shared" si="2"/>
        <v>23.466666666666669</v>
      </c>
      <c r="J43" s="52"/>
      <c r="K43" s="52">
        <v>0</v>
      </c>
      <c r="L43" s="53"/>
      <c r="M43" s="54">
        <f t="shared" si="3"/>
        <v>1080.0583333333334</v>
      </c>
      <c r="N43" s="55">
        <f t="shared" si="4"/>
        <v>1363.0025000000001</v>
      </c>
      <c r="O43" s="33" t="s">
        <v>54</v>
      </c>
      <c r="P43" s="60" t="s">
        <v>155</v>
      </c>
      <c r="Q43" s="60" t="s">
        <v>156</v>
      </c>
      <c r="R43" s="141" t="s">
        <v>55</v>
      </c>
      <c r="S43" s="62">
        <v>325311</v>
      </c>
      <c r="T43" s="72" t="s">
        <v>56</v>
      </c>
    </row>
    <row r="44" spans="1:20" x14ac:dyDescent="0.2">
      <c r="A44" s="45">
        <v>40</v>
      </c>
      <c r="B44" s="71" t="s">
        <v>158</v>
      </c>
      <c r="C44" s="46" t="s">
        <v>159</v>
      </c>
      <c r="D44" s="70" t="s">
        <v>160</v>
      </c>
      <c r="E44" s="68">
        <v>900</v>
      </c>
      <c r="F44" s="52">
        <f>900</f>
        <v>900</v>
      </c>
      <c r="G44" s="50">
        <f t="shared" si="0"/>
        <v>67.5</v>
      </c>
      <c r="H44" s="50">
        <f t="shared" si="1"/>
        <v>128.25</v>
      </c>
      <c r="I44" s="51">
        <f t="shared" si="2"/>
        <v>7.5</v>
      </c>
      <c r="J44" s="52"/>
      <c r="K44" s="52">
        <v>0</v>
      </c>
      <c r="L44" s="53"/>
      <c r="M44" s="54">
        <f t="shared" si="3"/>
        <v>825</v>
      </c>
      <c r="N44" s="55">
        <f t="shared" si="4"/>
        <v>1028.25</v>
      </c>
      <c r="O44" s="33" t="s">
        <v>54</v>
      </c>
      <c r="P44" s="60" t="s">
        <v>158</v>
      </c>
      <c r="Q44" s="60" t="s">
        <v>159</v>
      </c>
      <c r="R44" s="141" t="s">
        <v>55</v>
      </c>
      <c r="S44" s="62">
        <v>323111</v>
      </c>
      <c r="T44" s="60" t="s">
        <v>56</v>
      </c>
    </row>
    <row r="45" spans="1:20" x14ac:dyDescent="0.2">
      <c r="A45" s="45">
        <v>41</v>
      </c>
      <c r="B45" s="71" t="s">
        <v>161</v>
      </c>
      <c r="C45" s="73" t="s">
        <v>162</v>
      </c>
      <c r="D45" s="70" t="s">
        <v>163</v>
      </c>
      <c r="E45" s="68">
        <v>450</v>
      </c>
      <c r="F45" s="52">
        <v>450</v>
      </c>
      <c r="G45" s="50">
        <f t="shared" si="0"/>
        <v>33.75</v>
      </c>
      <c r="H45" s="50">
        <f t="shared" si="1"/>
        <v>64.125</v>
      </c>
      <c r="I45" s="51">
        <f t="shared" si="2"/>
        <v>0</v>
      </c>
      <c r="J45" s="52"/>
      <c r="K45" s="52"/>
      <c r="L45" s="53"/>
      <c r="M45" s="54">
        <f t="shared" si="3"/>
        <v>416.25</v>
      </c>
      <c r="N45" s="55">
        <f t="shared" si="4"/>
        <v>514.125</v>
      </c>
      <c r="O45" s="33" t="s">
        <v>69</v>
      </c>
      <c r="P45" s="60" t="s">
        <v>161</v>
      </c>
      <c r="Q45" s="60" t="s">
        <v>162</v>
      </c>
      <c r="R45" s="141" t="s">
        <v>59</v>
      </c>
      <c r="S45" s="62">
        <v>134311</v>
      </c>
      <c r="T45" s="60" t="s">
        <v>164</v>
      </c>
    </row>
    <row r="46" spans="1:20" x14ac:dyDescent="0.2">
      <c r="A46" s="45">
        <v>42</v>
      </c>
      <c r="B46" s="71" t="s">
        <v>165</v>
      </c>
      <c r="C46" s="46" t="s">
        <v>166</v>
      </c>
      <c r="D46" s="70" t="s">
        <v>167</v>
      </c>
      <c r="E46" s="68">
        <v>1700</v>
      </c>
      <c r="F46" s="52">
        <v>1700</v>
      </c>
      <c r="G46" s="50">
        <f t="shared" si="0"/>
        <v>127.5</v>
      </c>
      <c r="H46" s="50">
        <f t="shared" si="1"/>
        <v>242.24999999999997</v>
      </c>
      <c r="I46" s="51">
        <f t="shared" si="2"/>
        <v>10</v>
      </c>
      <c r="J46" s="52"/>
      <c r="K46" s="52"/>
      <c r="L46" s="53"/>
      <c r="M46" s="54">
        <f t="shared" si="3"/>
        <v>1562.5</v>
      </c>
      <c r="N46" s="55">
        <f t="shared" si="4"/>
        <v>1942.25</v>
      </c>
      <c r="O46" s="33" t="s">
        <v>69</v>
      </c>
      <c r="P46" s="60" t="s">
        <v>165</v>
      </c>
      <c r="Q46" s="60" t="s">
        <v>166</v>
      </c>
      <c r="R46" s="141" t="s">
        <v>55</v>
      </c>
      <c r="S46" s="62">
        <v>323111</v>
      </c>
      <c r="T46" s="60" t="s">
        <v>56</v>
      </c>
    </row>
    <row r="47" spans="1:20" ht="15" thickBot="1" x14ac:dyDescent="0.25">
      <c r="A47" s="45">
        <v>43</v>
      </c>
      <c r="B47" s="71" t="s">
        <v>441</v>
      </c>
      <c r="C47" s="46" t="s">
        <v>442</v>
      </c>
      <c r="D47" s="70" t="s">
        <v>443</v>
      </c>
      <c r="E47" s="68">
        <v>480</v>
      </c>
      <c r="F47" s="52">
        <v>480</v>
      </c>
      <c r="G47" s="50">
        <f t="shared" si="0"/>
        <v>36</v>
      </c>
      <c r="H47" s="50">
        <f t="shared" si="1"/>
        <v>68.399999999999991</v>
      </c>
      <c r="I47" s="51">
        <f t="shared" si="2"/>
        <v>0</v>
      </c>
      <c r="J47" s="52"/>
      <c r="K47" s="52"/>
      <c r="L47" s="53"/>
      <c r="M47" s="54">
        <f t="shared" si="3"/>
        <v>444</v>
      </c>
      <c r="N47" s="55">
        <f t="shared" si="4"/>
        <v>548.4</v>
      </c>
      <c r="O47" s="33" t="s">
        <v>54</v>
      </c>
      <c r="P47" s="60" t="s">
        <v>441</v>
      </c>
      <c r="Q47" s="60" t="s">
        <v>442</v>
      </c>
      <c r="R47" s="141" t="s">
        <v>59</v>
      </c>
      <c r="S47" s="62">
        <v>329111</v>
      </c>
      <c r="T47" s="60" t="s">
        <v>56</v>
      </c>
    </row>
    <row r="48" spans="1:20" x14ac:dyDescent="0.2">
      <c r="A48" s="63">
        <v>44</v>
      </c>
      <c r="B48" s="71" t="s">
        <v>168</v>
      </c>
      <c r="C48" s="46" t="s">
        <v>169</v>
      </c>
      <c r="D48" s="70" t="s">
        <v>170</v>
      </c>
      <c r="E48" s="74">
        <v>350</v>
      </c>
      <c r="F48" s="52">
        <v>350</v>
      </c>
      <c r="G48" s="50">
        <f t="shared" si="0"/>
        <v>26.25</v>
      </c>
      <c r="H48" s="50">
        <f t="shared" si="1"/>
        <v>49.874999999999993</v>
      </c>
      <c r="I48" s="51">
        <f t="shared" si="2"/>
        <v>0</v>
      </c>
      <c r="J48" s="52"/>
      <c r="K48" s="52"/>
      <c r="L48" s="53"/>
      <c r="M48" s="54">
        <f t="shared" si="3"/>
        <v>323.75</v>
      </c>
      <c r="N48" s="55">
        <f t="shared" si="4"/>
        <v>399.875</v>
      </c>
      <c r="O48" s="33" t="s">
        <v>54</v>
      </c>
      <c r="P48" s="60" t="s">
        <v>168</v>
      </c>
      <c r="Q48" s="60" t="s">
        <v>169</v>
      </c>
      <c r="R48" s="141" t="s">
        <v>55</v>
      </c>
      <c r="S48" s="62">
        <v>325311</v>
      </c>
      <c r="T48" s="72" t="s">
        <v>56</v>
      </c>
    </row>
    <row r="49" spans="1:22" x14ac:dyDescent="0.2">
      <c r="A49" s="45">
        <v>45</v>
      </c>
      <c r="B49" s="71" t="s">
        <v>171</v>
      </c>
      <c r="C49" s="46" t="s">
        <v>172</v>
      </c>
      <c r="D49" s="75" t="s">
        <v>53</v>
      </c>
      <c r="E49" s="74">
        <v>700</v>
      </c>
      <c r="F49" s="52">
        <v>700</v>
      </c>
      <c r="G49" s="50">
        <f t="shared" si="0"/>
        <v>52.5</v>
      </c>
      <c r="H49" s="50">
        <f t="shared" si="1"/>
        <v>99.749999999999986</v>
      </c>
      <c r="I49" s="51">
        <f t="shared" si="2"/>
        <v>0</v>
      </c>
      <c r="J49" s="52"/>
      <c r="K49" s="52"/>
      <c r="L49" s="53"/>
      <c r="M49" s="54">
        <f t="shared" si="3"/>
        <v>647.5</v>
      </c>
      <c r="N49" s="55">
        <f t="shared" si="4"/>
        <v>799.75</v>
      </c>
      <c r="O49" s="33" t="s">
        <v>54</v>
      </c>
      <c r="P49" s="60" t="s">
        <v>171</v>
      </c>
      <c r="Q49" s="60" t="s">
        <v>172</v>
      </c>
      <c r="R49" s="141" t="s">
        <v>59</v>
      </c>
      <c r="S49" s="62">
        <v>329111</v>
      </c>
      <c r="T49" s="60" t="s">
        <v>56</v>
      </c>
    </row>
    <row r="50" spans="1:22" x14ac:dyDescent="0.2">
      <c r="A50" s="45">
        <v>46</v>
      </c>
      <c r="B50" s="71" t="s">
        <v>173</v>
      </c>
      <c r="C50" s="46" t="s">
        <v>174</v>
      </c>
      <c r="D50" s="75" t="s">
        <v>175</v>
      </c>
      <c r="E50" s="74">
        <v>2300</v>
      </c>
      <c r="F50" s="52">
        <v>2300</v>
      </c>
      <c r="G50" s="50">
        <f t="shared" si="0"/>
        <v>172.5</v>
      </c>
      <c r="H50" s="50">
        <f t="shared" si="1"/>
        <v>327.75</v>
      </c>
      <c r="I50" s="51">
        <f t="shared" si="2"/>
        <v>185</v>
      </c>
      <c r="J50" s="52"/>
      <c r="K50" s="52"/>
      <c r="L50" s="53"/>
      <c r="M50" s="54">
        <f t="shared" si="3"/>
        <v>1942.5</v>
      </c>
      <c r="N50" s="55">
        <f t="shared" si="4"/>
        <v>2627.75</v>
      </c>
      <c r="O50" s="33" t="s">
        <v>54</v>
      </c>
      <c r="P50" s="60" t="s">
        <v>176</v>
      </c>
      <c r="Q50" s="60" t="s">
        <v>174</v>
      </c>
      <c r="R50" s="141" t="s">
        <v>59</v>
      </c>
      <c r="S50" s="62">
        <v>111111</v>
      </c>
      <c r="T50" s="60" t="s">
        <v>177</v>
      </c>
    </row>
    <row r="51" spans="1:22" x14ac:dyDescent="0.2">
      <c r="A51" s="45">
        <v>47</v>
      </c>
      <c r="B51" s="71" t="s">
        <v>178</v>
      </c>
      <c r="C51" s="46" t="s">
        <v>179</v>
      </c>
      <c r="D51" s="76" t="s">
        <v>180</v>
      </c>
      <c r="E51" s="74">
        <v>480</v>
      </c>
      <c r="F51" s="52">
        <v>480</v>
      </c>
      <c r="G51" s="50">
        <f t="shared" si="0"/>
        <v>36</v>
      </c>
      <c r="H51" s="50">
        <f t="shared" si="1"/>
        <v>68.399999999999991</v>
      </c>
      <c r="I51" s="51">
        <f t="shared" si="2"/>
        <v>0</v>
      </c>
      <c r="J51" s="52"/>
      <c r="K51" s="52"/>
      <c r="L51" s="53"/>
      <c r="M51" s="54">
        <f t="shared" si="3"/>
        <v>444</v>
      </c>
      <c r="N51" s="55">
        <f t="shared" si="4"/>
        <v>548.4</v>
      </c>
      <c r="O51" s="33" t="s">
        <v>54</v>
      </c>
      <c r="P51" s="60" t="s">
        <v>178</v>
      </c>
      <c r="Q51" s="60" t="s">
        <v>179</v>
      </c>
      <c r="R51" s="141" t="s">
        <v>59</v>
      </c>
      <c r="S51" s="62">
        <v>329111</v>
      </c>
      <c r="T51" s="60" t="s">
        <v>56</v>
      </c>
    </row>
    <row r="52" spans="1:22" x14ac:dyDescent="0.2">
      <c r="A52" s="45">
        <v>48</v>
      </c>
      <c r="B52" s="71" t="s">
        <v>181</v>
      </c>
      <c r="C52" s="46" t="s">
        <v>182</v>
      </c>
      <c r="D52" s="76" t="s">
        <v>183</v>
      </c>
      <c r="E52" s="74">
        <v>2000</v>
      </c>
      <c r="F52" s="52">
        <v>2000</v>
      </c>
      <c r="G52" s="50">
        <f t="shared" si="0"/>
        <v>150</v>
      </c>
      <c r="H52" s="50">
        <f t="shared" si="1"/>
        <v>285</v>
      </c>
      <c r="I52" s="51">
        <f t="shared" si="2"/>
        <v>125</v>
      </c>
      <c r="J52" s="52"/>
      <c r="K52" s="52"/>
      <c r="L52" s="53"/>
      <c r="M52" s="54">
        <f t="shared" si="3"/>
        <v>1725</v>
      </c>
      <c r="N52" s="55">
        <f t="shared" si="4"/>
        <v>2285</v>
      </c>
      <c r="O52" s="33" t="s">
        <v>54</v>
      </c>
      <c r="P52" s="60" t="s">
        <v>181</v>
      </c>
      <c r="Q52" s="60" t="s">
        <v>182</v>
      </c>
      <c r="R52" s="141" t="s">
        <v>59</v>
      </c>
      <c r="S52" s="62">
        <v>323111</v>
      </c>
      <c r="T52" s="60" t="s">
        <v>56</v>
      </c>
    </row>
    <row r="53" spans="1:22" x14ac:dyDescent="0.2">
      <c r="A53" s="45">
        <v>49</v>
      </c>
      <c r="B53" s="71" t="s">
        <v>184</v>
      </c>
      <c r="C53" s="46" t="s">
        <v>185</v>
      </c>
      <c r="D53" s="75" t="s">
        <v>186</v>
      </c>
      <c r="E53" s="74">
        <v>816</v>
      </c>
      <c r="F53" s="52">
        <v>816</v>
      </c>
      <c r="G53" s="50">
        <f t="shared" si="0"/>
        <v>61.199999999999996</v>
      </c>
      <c r="H53" s="50">
        <f t="shared" si="1"/>
        <v>116.27999999999999</v>
      </c>
      <c r="I53" s="51">
        <f t="shared" si="2"/>
        <v>3.3000000000000003</v>
      </c>
      <c r="J53" s="52"/>
      <c r="K53" s="52"/>
      <c r="L53" s="53"/>
      <c r="M53" s="54">
        <f t="shared" si="3"/>
        <v>751.5</v>
      </c>
      <c r="N53" s="55">
        <f t="shared" si="4"/>
        <v>932.28</v>
      </c>
      <c r="O53" s="33" t="s">
        <v>54</v>
      </c>
      <c r="P53" s="60" t="s">
        <v>184</v>
      </c>
      <c r="Q53" s="60" t="s">
        <v>185</v>
      </c>
      <c r="R53" s="141" t="s">
        <v>59</v>
      </c>
      <c r="S53" s="62">
        <v>329111</v>
      </c>
      <c r="T53" s="60" t="s">
        <v>56</v>
      </c>
    </row>
    <row r="54" spans="1:22" x14ac:dyDescent="0.2">
      <c r="A54" s="45">
        <v>50</v>
      </c>
      <c r="B54" s="71" t="s">
        <v>187</v>
      </c>
      <c r="C54" s="46" t="s">
        <v>188</v>
      </c>
      <c r="D54" s="75" t="s">
        <v>189</v>
      </c>
      <c r="E54" s="74">
        <v>600</v>
      </c>
      <c r="F54" s="52">
        <v>600</v>
      </c>
      <c r="G54" s="50">
        <f t="shared" si="0"/>
        <v>45</v>
      </c>
      <c r="H54" s="50">
        <f t="shared" si="1"/>
        <v>85.499999999999986</v>
      </c>
      <c r="I54" s="51">
        <f t="shared" si="2"/>
        <v>0</v>
      </c>
      <c r="J54" s="52"/>
      <c r="K54" s="52"/>
      <c r="L54" s="53"/>
      <c r="M54" s="54">
        <f t="shared" si="3"/>
        <v>555</v>
      </c>
      <c r="N54" s="55">
        <f t="shared" si="4"/>
        <v>685.5</v>
      </c>
      <c r="O54" s="33" t="s">
        <v>54</v>
      </c>
      <c r="P54" s="60" t="s">
        <v>187</v>
      </c>
      <c r="Q54" s="60" t="s">
        <v>188</v>
      </c>
      <c r="R54" s="141" t="s">
        <v>59</v>
      </c>
      <c r="S54" s="62">
        <v>131111</v>
      </c>
      <c r="T54" s="60" t="s">
        <v>164</v>
      </c>
    </row>
    <row r="55" spans="1:22" ht="15" thickBot="1" x14ac:dyDescent="0.25">
      <c r="A55" s="45">
        <v>51</v>
      </c>
      <c r="B55" s="71" t="s">
        <v>190</v>
      </c>
      <c r="C55" s="46" t="s">
        <v>191</v>
      </c>
      <c r="D55" s="75" t="s">
        <v>186</v>
      </c>
      <c r="E55" s="74">
        <v>900</v>
      </c>
      <c r="F55" s="52">
        <v>900</v>
      </c>
      <c r="G55" s="50">
        <f t="shared" si="0"/>
        <v>67.5</v>
      </c>
      <c r="H55" s="50">
        <f t="shared" si="1"/>
        <v>128.25</v>
      </c>
      <c r="I55" s="51">
        <f t="shared" si="2"/>
        <v>7.5</v>
      </c>
      <c r="J55" s="52"/>
      <c r="K55" s="52">
        <v>0</v>
      </c>
      <c r="L55" s="53"/>
      <c r="M55" s="54">
        <f t="shared" si="3"/>
        <v>825</v>
      </c>
      <c r="N55" s="55">
        <f t="shared" si="4"/>
        <v>1028.25</v>
      </c>
      <c r="O55" s="33" t="s">
        <v>54</v>
      </c>
      <c r="P55" s="60" t="s">
        <v>190</v>
      </c>
      <c r="Q55" s="60" t="s">
        <v>191</v>
      </c>
      <c r="R55" s="141" t="s">
        <v>59</v>
      </c>
      <c r="S55" s="62">
        <v>329111</v>
      </c>
      <c r="T55" s="60" t="s">
        <v>56</v>
      </c>
    </row>
    <row r="56" spans="1:22" x14ac:dyDescent="0.2">
      <c r="A56" s="63">
        <v>52</v>
      </c>
      <c r="B56" s="71" t="s">
        <v>192</v>
      </c>
      <c r="C56" s="46" t="s">
        <v>193</v>
      </c>
      <c r="D56" s="75" t="s">
        <v>194</v>
      </c>
      <c r="E56" s="74">
        <v>1843</v>
      </c>
      <c r="F56" s="52">
        <v>1843</v>
      </c>
      <c r="G56" s="50">
        <f t="shared" si="0"/>
        <v>138.22499999999999</v>
      </c>
      <c r="H56" s="50">
        <f t="shared" si="1"/>
        <v>262.6275</v>
      </c>
      <c r="I56" s="51">
        <f t="shared" si="2"/>
        <v>101.45</v>
      </c>
      <c r="J56" s="52"/>
      <c r="K56" s="52"/>
      <c r="L56" s="53"/>
      <c r="M56" s="54">
        <f t="shared" si="3"/>
        <v>1603.325</v>
      </c>
      <c r="N56" s="55">
        <f t="shared" si="4"/>
        <v>2105.6275000000001</v>
      </c>
      <c r="O56" s="33" t="s">
        <v>54</v>
      </c>
      <c r="P56" s="60" t="s">
        <v>192</v>
      </c>
      <c r="Q56" s="60" t="s">
        <v>193</v>
      </c>
      <c r="R56" s="141" t="s">
        <v>59</v>
      </c>
      <c r="S56" s="62">
        <v>323111</v>
      </c>
      <c r="T56" s="60" t="s">
        <v>56</v>
      </c>
    </row>
    <row r="57" spans="1:22" x14ac:dyDescent="0.2">
      <c r="A57" s="45">
        <v>53</v>
      </c>
      <c r="B57" s="71" t="s">
        <v>195</v>
      </c>
      <c r="C57" s="46" t="s">
        <v>196</v>
      </c>
      <c r="D57" s="75" t="s">
        <v>186</v>
      </c>
      <c r="E57" s="74">
        <v>945</v>
      </c>
      <c r="F57" s="52">
        <v>945</v>
      </c>
      <c r="G57" s="50">
        <f t="shared" si="0"/>
        <v>70.875</v>
      </c>
      <c r="H57" s="50">
        <f t="shared" si="1"/>
        <v>134.66249999999999</v>
      </c>
      <c r="I57" s="51">
        <f t="shared" si="2"/>
        <v>9.75</v>
      </c>
      <c r="J57" s="52"/>
      <c r="K57" s="52"/>
      <c r="L57" s="53"/>
      <c r="M57" s="54">
        <f t="shared" si="3"/>
        <v>864.375</v>
      </c>
      <c r="N57" s="55">
        <f t="shared" si="4"/>
        <v>1079.6624999999999</v>
      </c>
      <c r="O57" s="33" t="s">
        <v>54</v>
      </c>
      <c r="P57" s="60" t="s">
        <v>195</v>
      </c>
      <c r="Q57" s="60" t="s">
        <v>196</v>
      </c>
      <c r="R57" s="141" t="s">
        <v>59</v>
      </c>
      <c r="S57" s="62">
        <v>329111</v>
      </c>
      <c r="T57" s="60" t="s">
        <v>56</v>
      </c>
    </row>
    <row r="58" spans="1:22" x14ac:dyDescent="0.2">
      <c r="A58" s="45">
        <v>54</v>
      </c>
      <c r="B58" s="71" t="s">
        <v>197</v>
      </c>
      <c r="C58" s="46" t="s">
        <v>198</v>
      </c>
      <c r="D58" s="75" t="s">
        <v>199</v>
      </c>
      <c r="E58" s="74">
        <v>1420</v>
      </c>
      <c r="F58" s="52">
        <v>1420</v>
      </c>
      <c r="G58" s="50">
        <f t="shared" si="0"/>
        <v>106.5</v>
      </c>
      <c r="H58" s="50">
        <f t="shared" si="1"/>
        <v>202.35</v>
      </c>
      <c r="I58" s="51">
        <f t="shared" si="2"/>
        <v>46.166666666666664</v>
      </c>
      <c r="J58" s="52"/>
      <c r="K58" s="52"/>
      <c r="L58" s="53"/>
      <c r="M58" s="54">
        <f t="shared" si="3"/>
        <v>1267.3333333333333</v>
      </c>
      <c r="N58" s="55">
        <f t="shared" si="4"/>
        <v>1622.35</v>
      </c>
      <c r="O58" s="33" t="s">
        <v>54</v>
      </c>
      <c r="P58" s="60" t="s">
        <v>197</v>
      </c>
      <c r="Q58" s="60" t="s">
        <v>198</v>
      </c>
      <c r="R58" s="141" t="s">
        <v>55</v>
      </c>
      <c r="S58" s="62">
        <v>323111</v>
      </c>
      <c r="T58" s="60" t="s">
        <v>56</v>
      </c>
    </row>
    <row r="59" spans="1:22" x14ac:dyDescent="0.2">
      <c r="A59" s="45">
        <v>55</v>
      </c>
      <c r="B59" s="71" t="s">
        <v>200</v>
      </c>
      <c r="C59" s="46" t="s">
        <v>201</v>
      </c>
      <c r="D59" s="75" t="s">
        <v>133</v>
      </c>
      <c r="E59" s="74">
        <v>1846</v>
      </c>
      <c r="F59" s="74">
        <v>1846</v>
      </c>
      <c r="G59" s="50">
        <f t="shared" si="0"/>
        <v>138.44999999999999</v>
      </c>
      <c r="H59" s="50">
        <f t="shared" si="1"/>
        <v>263.05499999999995</v>
      </c>
      <c r="I59" s="51">
        <f t="shared" si="2"/>
        <v>17.3</v>
      </c>
      <c r="J59" s="52"/>
      <c r="K59" s="52"/>
      <c r="L59" s="53"/>
      <c r="M59" s="54">
        <f t="shared" si="3"/>
        <v>1690.25</v>
      </c>
      <c r="N59" s="55">
        <f t="shared" si="4"/>
        <v>2109.0549999999998</v>
      </c>
      <c r="O59" s="33" t="s">
        <v>69</v>
      </c>
      <c r="P59" s="60" t="s">
        <v>200</v>
      </c>
      <c r="Q59" s="60" t="s">
        <v>201</v>
      </c>
      <c r="R59" s="141" t="s">
        <v>59</v>
      </c>
      <c r="S59" s="62">
        <v>323111</v>
      </c>
      <c r="T59" s="60" t="s">
        <v>56</v>
      </c>
    </row>
    <row r="60" spans="1:22" x14ac:dyDescent="0.2">
      <c r="A60" s="45">
        <v>56</v>
      </c>
      <c r="B60" s="71" t="s">
        <v>202</v>
      </c>
      <c r="C60" s="46" t="s">
        <v>203</v>
      </c>
      <c r="D60" s="76" t="s">
        <v>204</v>
      </c>
      <c r="E60" s="74">
        <v>320</v>
      </c>
      <c r="F60" s="52">
        <v>320</v>
      </c>
      <c r="G60" s="50">
        <f t="shared" si="0"/>
        <v>24</v>
      </c>
      <c r="H60" s="50">
        <f t="shared" si="1"/>
        <v>45.599999999999994</v>
      </c>
      <c r="I60" s="51">
        <f t="shared" si="2"/>
        <v>0</v>
      </c>
      <c r="J60" s="52"/>
      <c r="K60" s="52"/>
      <c r="L60" s="53"/>
      <c r="M60" s="54">
        <f t="shared" si="3"/>
        <v>296</v>
      </c>
      <c r="N60" s="55">
        <f t="shared" si="4"/>
        <v>365.6</v>
      </c>
      <c r="O60" s="33" t="s">
        <v>54</v>
      </c>
      <c r="P60" s="60" t="s">
        <v>202</v>
      </c>
      <c r="Q60" s="60" t="s">
        <v>203</v>
      </c>
      <c r="R60" s="141" t="s">
        <v>59</v>
      </c>
      <c r="S60" s="77">
        <v>326111</v>
      </c>
      <c r="T60" s="60" t="s">
        <v>56</v>
      </c>
    </row>
    <row r="61" spans="1:22" x14ac:dyDescent="0.2">
      <c r="A61" s="45">
        <v>57</v>
      </c>
      <c r="B61" s="71" t="s">
        <v>205</v>
      </c>
      <c r="C61" s="46" t="s">
        <v>206</v>
      </c>
      <c r="D61" s="78" t="s">
        <v>207</v>
      </c>
      <c r="E61" s="79">
        <v>1562</v>
      </c>
      <c r="F61" s="52">
        <v>1562</v>
      </c>
      <c r="G61" s="50">
        <f t="shared" si="0"/>
        <v>117.14999999999999</v>
      </c>
      <c r="H61" s="50">
        <f t="shared" si="1"/>
        <v>222.58499999999998</v>
      </c>
      <c r="I61" s="51">
        <f t="shared" si="2"/>
        <v>60.366666666666674</v>
      </c>
      <c r="J61" s="52"/>
      <c r="K61" s="52"/>
      <c r="L61" s="53"/>
      <c r="M61" s="54">
        <f t="shared" si="3"/>
        <v>1384.4833333333333</v>
      </c>
      <c r="N61" s="55">
        <f t="shared" si="4"/>
        <v>1784.585</v>
      </c>
      <c r="O61" s="33" t="s">
        <v>54</v>
      </c>
      <c r="P61" s="60" t="s">
        <v>205</v>
      </c>
      <c r="Q61" s="60" t="s">
        <v>206</v>
      </c>
      <c r="R61" s="141" t="s">
        <v>59</v>
      </c>
      <c r="S61" s="77">
        <v>329111</v>
      </c>
      <c r="T61" s="60" t="s">
        <v>56</v>
      </c>
      <c r="U61">
        <v>1948.9433333333334</v>
      </c>
      <c r="V61">
        <f>U61-M61</f>
        <v>564.46</v>
      </c>
    </row>
    <row r="62" spans="1:22" x14ac:dyDescent="0.2">
      <c r="A62" s="45">
        <v>58</v>
      </c>
      <c r="B62" s="71" t="s">
        <v>208</v>
      </c>
      <c r="C62" s="46" t="s">
        <v>209</v>
      </c>
      <c r="D62" s="76" t="s">
        <v>210</v>
      </c>
      <c r="E62" s="74">
        <v>2980</v>
      </c>
      <c r="F62" s="52">
        <v>2980</v>
      </c>
      <c r="G62" s="50">
        <f t="shared" si="0"/>
        <v>223.5</v>
      </c>
      <c r="H62" s="50">
        <f t="shared" si="1"/>
        <v>424.65</v>
      </c>
      <c r="I62" s="51">
        <f t="shared" si="2"/>
        <v>171</v>
      </c>
      <c r="J62" s="52"/>
      <c r="K62" s="52"/>
      <c r="L62" s="53"/>
      <c r="M62" s="54">
        <f t="shared" si="3"/>
        <v>2585.5</v>
      </c>
      <c r="N62" s="55">
        <f t="shared" si="4"/>
        <v>3404.65</v>
      </c>
      <c r="O62" s="33" t="s">
        <v>69</v>
      </c>
      <c r="P62" s="60" t="s">
        <v>208</v>
      </c>
      <c r="Q62" s="60" t="s">
        <v>209</v>
      </c>
      <c r="R62" s="141" t="s">
        <v>59</v>
      </c>
      <c r="S62" s="77">
        <v>329111</v>
      </c>
      <c r="T62" s="60" t="s">
        <v>56</v>
      </c>
    </row>
    <row r="63" spans="1:22" ht="15" thickBot="1" x14ac:dyDescent="0.25">
      <c r="A63" s="45">
        <v>59</v>
      </c>
      <c r="B63" s="71" t="s">
        <v>211</v>
      </c>
      <c r="C63" s="46" t="s">
        <v>212</v>
      </c>
      <c r="D63" s="76" t="s">
        <v>213</v>
      </c>
      <c r="E63" s="74">
        <v>1350</v>
      </c>
      <c r="F63" s="52">
        <v>1350</v>
      </c>
      <c r="G63" s="50">
        <f t="shared" si="0"/>
        <v>101.25</v>
      </c>
      <c r="H63" s="50">
        <f t="shared" si="1"/>
        <v>192.37499999999997</v>
      </c>
      <c r="I63" s="51">
        <f t="shared" si="2"/>
        <v>39.166666666666664</v>
      </c>
      <c r="J63" s="52"/>
      <c r="K63" s="52"/>
      <c r="L63" s="53"/>
      <c r="M63" s="54">
        <f t="shared" si="3"/>
        <v>1209.5833333333333</v>
      </c>
      <c r="N63" s="55">
        <f t="shared" si="4"/>
        <v>1542.375</v>
      </c>
      <c r="O63" s="33" t="s">
        <v>54</v>
      </c>
      <c r="P63" s="60" t="s">
        <v>211</v>
      </c>
      <c r="Q63" s="60" t="s">
        <v>212</v>
      </c>
      <c r="R63" s="141" t="s">
        <v>59</v>
      </c>
      <c r="S63" s="77">
        <v>329111</v>
      </c>
      <c r="T63" s="60" t="s">
        <v>56</v>
      </c>
    </row>
    <row r="64" spans="1:22" x14ac:dyDescent="0.2">
      <c r="A64" s="63">
        <v>60</v>
      </c>
      <c r="B64" s="71" t="s">
        <v>214</v>
      </c>
      <c r="C64" s="46" t="s">
        <v>215</v>
      </c>
      <c r="D64" s="76" t="s">
        <v>216</v>
      </c>
      <c r="E64" s="74">
        <v>1846</v>
      </c>
      <c r="F64" s="52">
        <v>1846</v>
      </c>
      <c r="G64" s="50">
        <f t="shared" si="0"/>
        <v>138.44999999999999</v>
      </c>
      <c r="H64" s="50">
        <f t="shared" si="1"/>
        <v>263.05499999999995</v>
      </c>
      <c r="I64" s="51">
        <f t="shared" si="2"/>
        <v>101.89999999999999</v>
      </c>
      <c r="J64" s="52"/>
      <c r="K64" s="52"/>
      <c r="L64" s="53"/>
      <c r="M64" s="54">
        <f t="shared" si="3"/>
        <v>1605.65</v>
      </c>
      <c r="N64" s="55">
        <f t="shared" si="4"/>
        <v>2109.0549999999998</v>
      </c>
      <c r="O64" s="33" t="s">
        <v>54</v>
      </c>
      <c r="P64" s="60" t="s">
        <v>214</v>
      </c>
      <c r="Q64" s="60" t="s">
        <v>215</v>
      </c>
      <c r="R64" s="141" t="s">
        <v>55</v>
      </c>
      <c r="S64" s="77">
        <v>325311</v>
      </c>
      <c r="T64" s="60" t="s">
        <v>56</v>
      </c>
    </row>
    <row r="65" spans="1:20" x14ac:dyDescent="0.2">
      <c r="A65" s="45">
        <v>61</v>
      </c>
      <c r="B65" s="71" t="s">
        <v>217</v>
      </c>
      <c r="C65" s="46" t="s">
        <v>218</v>
      </c>
      <c r="D65" s="76" t="s">
        <v>219</v>
      </c>
      <c r="E65" s="74">
        <v>1275</v>
      </c>
      <c r="F65" s="52">
        <v>1275</v>
      </c>
      <c r="G65" s="50">
        <f t="shared" si="0"/>
        <v>95.625</v>
      </c>
      <c r="H65" s="50">
        <f t="shared" si="1"/>
        <v>181.68749999999997</v>
      </c>
      <c r="I65" s="51">
        <f t="shared" si="2"/>
        <v>31.666666666666668</v>
      </c>
      <c r="J65" s="52"/>
      <c r="K65" s="52"/>
      <c r="L65" s="53"/>
      <c r="M65" s="54">
        <f t="shared" si="3"/>
        <v>1147.7083333333333</v>
      </c>
      <c r="N65" s="55">
        <f t="shared" si="4"/>
        <v>1456.6875</v>
      </c>
      <c r="O65" s="33" t="s">
        <v>54</v>
      </c>
      <c r="P65" s="60" t="s">
        <v>217</v>
      </c>
      <c r="Q65" s="60" t="s">
        <v>218</v>
      </c>
      <c r="R65" s="141" t="s">
        <v>55</v>
      </c>
      <c r="S65" s="77">
        <v>325311</v>
      </c>
      <c r="T65" s="60" t="s">
        <v>56</v>
      </c>
    </row>
    <row r="66" spans="1:20" x14ac:dyDescent="0.2">
      <c r="A66" s="45">
        <v>62</v>
      </c>
      <c r="B66" s="71" t="s">
        <v>220</v>
      </c>
      <c r="C66" s="46" t="s">
        <v>221</v>
      </c>
      <c r="D66" s="76" t="s">
        <v>222</v>
      </c>
      <c r="E66" s="74">
        <v>2485</v>
      </c>
      <c r="F66" s="52">
        <v>2485</v>
      </c>
      <c r="G66" s="50">
        <f t="shared" si="0"/>
        <v>186.375</v>
      </c>
      <c r="H66" s="50">
        <f t="shared" si="1"/>
        <v>354.11249999999995</v>
      </c>
      <c r="I66" s="51">
        <f t="shared" si="2"/>
        <v>225.41666666666666</v>
      </c>
      <c r="J66" s="52"/>
      <c r="K66" s="52"/>
      <c r="L66" s="53"/>
      <c r="M66" s="54">
        <f t="shared" si="3"/>
        <v>2073.2083333333335</v>
      </c>
      <c r="N66" s="55">
        <f t="shared" si="4"/>
        <v>2839.1125000000002</v>
      </c>
      <c r="O66" s="33" t="s">
        <v>54</v>
      </c>
      <c r="P66" s="60" t="s">
        <v>220</v>
      </c>
      <c r="Q66" s="60" t="s">
        <v>221</v>
      </c>
      <c r="R66" s="141" t="s">
        <v>223</v>
      </c>
      <c r="S66" s="77">
        <v>323111</v>
      </c>
      <c r="T66" s="60" t="s">
        <v>56</v>
      </c>
    </row>
    <row r="67" spans="1:20" x14ac:dyDescent="0.2">
      <c r="A67" s="45">
        <v>63</v>
      </c>
      <c r="B67" s="71" t="s">
        <v>224</v>
      </c>
      <c r="C67" s="46" t="s">
        <v>225</v>
      </c>
      <c r="D67" s="76" t="s">
        <v>226</v>
      </c>
      <c r="E67" s="74">
        <v>530</v>
      </c>
      <c r="F67" s="52">
        <v>530</v>
      </c>
      <c r="G67" s="50">
        <f t="shared" si="0"/>
        <v>39.75</v>
      </c>
      <c r="H67" s="50">
        <f t="shared" si="1"/>
        <v>75.524999999999991</v>
      </c>
      <c r="I67" s="51">
        <f t="shared" si="2"/>
        <v>0</v>
      </c>
      <c r="J67" s="52"/>
      <c r="K67" s="52"/>
      <c r="L67" s="53"/>
      <c r="M67" s="54">
        <f t="shared" si="3"/>
        <v>490.25</v>
      </c>
      <c r="N67" s="55">
        <f t="shared" si="4"/>
        <v>605.52499999999998</v>
      </c>
      <c r="O67" s="33" t="s">
        <v>54</v>
      </c>
      <c r="P67" s="60" t="s">
        <v>224</v>
      </c>
      <c r="Q67" s="60" t="s">
        <v>225</v>
      </c>
      <c r="R67" s="141" t="s">
        <v>55</v>
      </c>
      <c r="S67" s="77">
        <v>323111</v>
      </c>
      <c r="T67" s="60" t="s">
        <v>56</v>
      </c>
    </row>
    <row r="68" spans="1:20" x14ac:dyDescent="0.2">
      <c r="A68" s="45">
        <v>64</v>
      </c>
      <c r="B68" s="71" t="s">
        <v>227</v>
      </c>
      <c r="C68" s="46" t="s">
        <v>228</v>
      </c>
      <c r="D68" s="76" t="s">
        <v>229</v>
      </c>
      <c r="E68" s="74">
        <v>2600</v>
      </c>
      <c r="F68" s="52">
        <v>2600</v>
      </c>
      <c r="G68" s="50">
        <f t="shared" si="0"/>
        <v>195</v>
      </c>
      <c r="H68" s="50">
        <f t="shared" si="1"/>
        <v>370.49999999999994</v>
      </c>
      <c r="I68" s="51">
        <f t="shared" si="2"/>
        <v>254.16666666666666</v>
      </c>
      <c r="J68" s="52"/>
      <c r="K68" s="52"/>
      <c r="L68" s="53"/>
      <c r="M68" s="54">
        <f t="shared" si="3"/>
        <v>2150.8333333333335</v>
      </c>
      <c r="N68" s="55">
        <f t="shared" si="4"/>
        <v>2970.5</v>
      </c>
      <c r="O68" s="33" t="s">
        <v>54</v>
      </c>
      <c r="P68" s="60" t="s">
        <v>227</v>
      </c>
      <c r="Q68" s="60" t="s">
        <v>228</v>
      </c>
      <c r="R68" s="141" t="s">
        <v>55</v>
      </c>
      <c r="S68" s="77">
        <v>325311</v>
      </c>
      <c r="T68" s="60" t="s">
        <v>56</v>
      </c>
    </row>
    <row r="69" spans="1:20" x14ac:dyDescent="0.2">
      <c r="A69" s="45">
        <v>65</v>
      </c>
      <c r="B69" s="71" t="s">
        <v>444</v>
      </c>
      <c r="C69" s="46" t="s">
        <v>445</v>
      </c>
      <c r="D69" s="76" t="s">
        <v>446</v>
      </c>
      <c r="E69" s="74">
        <v>1562</v>
      </c>
      <c r="F69" s="52">
        <v>1562</v>
      </c>
      <c r="G69" s="50">
        <f t="shared" ref="G69:G101" si="5">E69*0.075</f>
        <v>117.14999999999999</v>
      </c>
      <c r="H69" s="50">
        <f t="shared" ref="H69:H101" si="6">E69*0.1425</f>
        <v>222.58499999999998</v>
      </c>
      <c r="I69" s="51">
        <f t="shared" ref="I69:I112" si="7">(IF((O69="No"),(IF((($F69*12)-9000)&lt;0,0,(IF((($F69*12)-9000)&gt;20000,(5000*5%+5000*10%+5000*15%+5000*20%+((($F69*12)-9000)-20000)*25%),IF((($F69*12)-9000)&gt;15000,(5000*5%+5000*10%+5000*15%+((($F69*12)-9000)-15000)*20%),IF((($F69*12)-9000)&gt;10000,(5000*5%+5000*10%+((($F69*12)-9000)-10000)*15%),IF((($F69*12)-9000)&gt;5000,(5000*5%+((($F69*12)-9000)-5000)*10%),IF((($F69*12)-9000)&lt;5000,(($F69*12)-9000)*5%)))))))),((IF((($F69*12)-18000)&lt;0,0,(IF((($F69*12)-18000)&gt;20000,(5000*5%+5000*10%+5000*15%+5000*20%+((($F69*12)-18000)-20000)*25%),IF((($F69*12)-18000)&gt;15000,(5000*5%+5000*10%+5000*15%+((($F69*12)-18000)-15000)*20%),IF((($F69*12)-18000)&gt;10000,(5000*5%+5000*10%+((($F69*12)-18000)-10000)*15%),IF((($F69*12)-18000)&gt;5000,(5000*5%+((($F69*12)-18000)-5000)*10%),IF((($F69*12)-18000)&lt;5000,(($F69*12)-18000)*5%))))))))))/12)</f>
        <v>60.366666666666674</v>
      </c>
      <c r="J69" s="52"/>
      <c r="K69" s="52"/>
      <c r="L69" s="53"/>
      <c r="M69" s="54">
        <f t="shared" ref="M69:M110" si="8">(F69+K69)-SUM(G69,I69,J69,L69)</f>
        <v>1384.4833333333333</v>
      </c>
      <c r="N69" s="55">
        <f t="shared" ref="N69:N94" si="9">F69+H69</f>
        <v>1784.585</v>
      </c>
      <c r="O69" s="33" t="s">
        <v>54</v>
      </c>
      <c r="P69" s="60" t="s">
        <v>444</v>
      </c>
      <c r="Q69" s="60" t="s">
        <v>445</v>
      </c>
      <c r="R69" s="141" t="s">
        <v>55</v>
      </c>
      <c r="S69" s="77">
        <v>325311</v>
      </c>
      <c r="T69" s="60" t="s">
        <v>56</v>
      </c>
    </row>
    <row r="70" spans="1:20" x14ac:dyDescent="0.2">
      <c r="A70" s="45">
        <v>66</v>
      </c>
      <c r="B70" s="71" t="s">
        <v>230</v>
      </c>
      <c r="C70" s="46" t="s">
        <v>231</v>
      </c>
      <c r="D70" s="76" t="s">
        <v>232</v>
      </c>
      <c r="E70" s="74">
        <v>1100</v>
      </c>
      <c r="F70" s="52">
        <v>1100</v>
      </c>
      <c r="G70" s="50">
        <f t="shared" si="5"/>
        <v>82.5</v>
      </c>
      <c r="H70" s="50">
        <f t="shared" si="6"/>
        <v>156.75</v>
      </c>
      <c r="I70" s="51">
        <f t="shared" si="7"/>
        <v>17.5</v>
      </c>
      <c r="J70" s="52"/>
      <c r="K70" s="52"/>
      <c r="L70" s="53"/>
      <c r="M70" s="54">
        <f t="shared" si="8"/>
        <v>1000</v>
      </c>
      <c r="N70" s="55">
        <f t="shared" si="9"/>
        <v>1256.75</v>
      </c>
      <c r="O70" s="33" t="s">
        <v>54</v>
      </c>
      <c r="P70" s="60" t="s">
        <v>230</v>
      </c>
      <c r="Q70" s="60" t="s">
        <v>231</v>
      </c>
      <c r="R70" s="141"/>
      <c r="S70" s="77">
        <v>325311</v>
      </c>
      <c r="T70" s="60" t="s">
        <v>56</v>
      </c>
    </row>
    <row r="71" spans="1:20" ht="15" thickBot="1" x14ac:dyDescent="0.25">
      <c r="A71" s="45">
        <v>67</v>
      </c>
      <c r="B71" s="71" t="s">
        <v>233</v>
      </c>
      <c r="C71" s="46" t="s">
        <v>234</v>
      </c>
      <c r="D71" s="76" t="s">
        <v>204</v>
      </c>
      <c r="E71" s="80">
        <v>395</v>
      </c>
      <c r="F71" s="81">
        <v>395</v>
      </c>
      <c r="G71" s="50">
        <f t="shared" si="5"/>
        <v>29.625</v>
      </c>
      <c r="H71" s="50">
        <f t="shared" si="6"/>
        <v>56.287499999999994</v>
      </c>
      <c r="I71" s="51">
        <f t="shared" si="7"/>
        <v>0</v>
      </c>
      <c r="J71" s="52"/>
      <c r="K71" s="52"/>
      <c r="L71" s="53"/>
      <c r="M71" s="54">
        <f t="shared" si="8"/>
        <v>365.375</v>
      </c>
      <c r="N71" s="55">
        <f t="shared" si="9"/>
        <v>451.28750000000002</v>
      </c>
      <c r="O71" s="33" t="s">
        <v>54</v>
      </c>
      <c r="P71" s="60" t="s">
        <v>233</v>
      </c>
      <c r="Q71" s="60" t="s">
        <v>234</v>
      </c>
      <c r="R71" s="141"/>
      <c r="S71" s="77">
        <v>329111</v>
      </c>
      <c r="T71" s="60" t="s">
        <v>56</v>
      </c>
    </row>
    <row r="72" spans="1:20" x14ac:dyDescent="0.2">
      <c r="A72" s="63">
        <v>68</v>
      </c>
      <c r="B72" s="71" t="s">
        <v>235</v>
      </c>
      <c r="C72" s="46" t="s">
        <v>236</v>
      </c>
      <c r="D72" s="76" t="s">
        <v>204</v>
      </c>
      <c r="E72" s="80">
        <v>395</v>
      </c>
      <c r="F72" s="81">
        <v>395</v>
      </c>
      <c r="G72" s="50">
        <f t="shared" si="5"/>
        <v>29.625</v>
      </c>
      <c r="H72" s="50">
        <f t="shared" si="6"/>
        <v>56.287499999999994</v>
      </c>
      <c r="I72" s="51">
        <f t="shared" si="7"/>
        <v>0</v>
      </c>
      <c r="J72" s="52"/>
      <c r="K72" s="52"/>
      <c r="L72" s="53"/>
      <c r="M72" s="54">
        <f t="shared" si="8"/>
        <v>365.375</v>
      </c>
      <c r="N72" s="55">
        <f t="shared" si="9"/>
        <v>451.28750000000002</v>
      </c>
      <c r="O72" s="33" t="s">
        <v>54</v>
      </c>
      <c r="P72" s="60" t="s">
        <v>235</v>
      </c>
      <c r="Q72" s="60" t="s">
        <v>236</v>
      </c>
      <c r="R72" s="141"/>
      <c r="S72" s="77">
        <v>329111</v>
      </c>
      <c r="T72" s="60" t="s">
        <v>56</v>
      </c>
    </row>
    <row r="73" spans="1:20" x14ac:dyDescent="0.2">
      <c r="A73" s="45">
        <v>69</v>
      </c>
      <c r="B73" s="71" t="s">
        <v>237</v>
      </c>
      <c r="C73" s="46" t="s">
        <v>238</v>
      </c>
      <c r="D73" s="76" t="s">
        <v>239</v>
      </c>
      <c r="E73" s="74">
        <v>3000</v>
      </c>
      <c r="F73" s="52">
        <v>3000</v>
      </c>
      <c r="G73" s="50">
        <f t="shared" si="5"/>
        <v>225</v>
      </c>
      <c r="H73" s="50">
        <f t="shared" si="6"/>
        <v>427.49999999999994</v>
      </c>
      <c r="I73" s="51">
        <f t="shared" si="7"/>
        <v>175</v>
      </c>
      <c r="J73" s="52"/>
      <c r="K73" s="52"/>
      <c r="L73" s="53"/>
      <c r="M73" s="54">
        <f t="shared" si="8"/>
        <v>2600</v>
      </c>
      <c r="N73" s="55">
        <f t="shared" si="9"/>
        <v>3427.5</v>
      </c>
      <c r="O73" s="33" t="s">
        <v>69</v>
      </c>
      <c r="P73" s="60" t="s">
        <v>237</v>
      </c>
      <c r="Q73" s="60" t="s">
        <v>238</v>
      </c>
      <c r="R73" s="141"/>
      <c r="S73" s="77">
        <v>323111</v>
      </c>
      <c r="T73" s="60" t="s">
        <v>240</v>
      </c>
    </row>
    <row r="74" spans="1:20" x14ac:dyDescent="0.2">
      <c r="A74" s="45">
        <v>70</v>
      </c>
      <c r="B74" s="71" t="s">
        <v>241</v>
      </c>
      <c r="C74" s="46" t="s">
        <v>242</v>
      </c>
      <c r="D74" s="76" t="s">
        <v>243</v>
      </c>
      <c r="E74" s="74">
        <v>1136</v>
      </c>
      <c r="F74" s="52">
        <v>1136</v>
      </c>
      <c r="G74" s="50">
        <f t="shared" si="5"/>
        <v>85.2</v>
      </c>
      <c r="H74" s="50">
        <f t="shared" si="6"/>
        <v>161.88</v>
      </c>
      <c r="I74" s="51">
        <f t="shared" si="7"/>
        <v>19.3</v>
      </c>
      <c r="J74" s="52"/>
      <c r="K74" s="52"/>
      <c r="L74" s="53"/>
      <c r="M74" s="54">
        <f t="shared" si="8"/>
        <v>1031.5</v>
      </c>
      <c r="N74" s="55">
        <f t="shared" si="9"/>
        <v>1297.8800000000001</v>
      </c>
      <c r="O74" s="33" t="s">
        <v>54</v>
      </c>
      <c r="P74" s="60" t="s">
        <v>241</v>
      </c>
      <c r="Q74" s="60" t="s">
        <v>242</v>
      </c>
      <c r="R74" s="141"/>
      <c r="S74" s="77">
        <v>327111</v>
      </c>
      <c r="T74" s="60" t="s">
        <v>56</v>
      </c>
    </row>
    <row r="75" spans="1:20" x14ac:dyDescent="0.2">
      <c r="A75" s="45">
        <v>71</v>
      </c>
      <c r="B75" s="71" t="s">
        <v>244</v>
      </c>
      <c r="C75" s="46" t="s">
        <v>245</v>
      </c>
      <c r="D75" s="76" t="s">
        <v>133</v>
      </c>
      <c r="E75" s="74">
        <v>1455</v>
      </c>
      <c r="F75" s="52">
        <v>1455</v>
      </c>
      <c r="G75" s="50">
        <f t="shared" si="5"/>
        <v>109.125</v>
      </c>
      <c r="H75" s="50">
        <f t="shared" si="6"/>
        <v>207.33749999999998</v>
      </c>
      <c r="I75" s="51">
        <f t="shared" si="7"/>
        <v>0</v>
      </c>
      <c r="J75" s="52"/>
      <c r="K75" s="52"/>
      <c r="L75" s="53"/>
      <c r="M75" s="54">
        <f t="shared" si="8"/>
        <v>1345.875</v>
      </c>
      <c r="N75" s="55">
        <f t="shared" si="9"/>
        <v>1662.3375000000001</v>
      </c>
      <c r="O75" s="33" t="s">
        <v>69</v>
      </c>
      <c r="P75" s="60" t="s">
        <v>244</v>
      </c>
      <c r="Q75" s="60" t="s">
        <v>245</v>
      </c>
      <c r="R75" s="141"/>
      <c r="S75" s="77">
        <v>323111</v>
      </c>
      <c r="T75" s="60" t="s">
        <v>56</v>
      </c>
    </row>
    <row r="76" spans="1:20" x14ac:dyDescent="0.2">
      <c r="A76" s="45">
        <v>72</v>
      </c>
      <c r="B76" s="71" t="s">
        <v>246</v>
      </c>
      <c r="C76" s="46" t="s">
        <v>247</v>
      </c>
      <c r="D76" s="76" t="s">
        <v>216</v>
      </c>
      <c r="E76" s="74">
        <v>1915</v>
      </c>
      <c r="F76" s="52">
        <v>1915</v>
      </c>
      <c r="G76" s="50">
        <f t="shared" si="5"/>
        <v>143.625</v>
      </c>
      <c r="H76" s="50">
        <f t="shared" si="6"/>
        <v>272.88749999999999</v>
      </c>
      <c r="I76" s="51">
        <f t="shared" si="7"/>
        <v>20.75</v>
      </c>
      <c r="J76" s="52"/>
      <c r="K76" s="52"/>
      <c r="L76" s="53"/>
      <c r="M76" s="54">
        <f t="shared" si="8"/>
        <v>1750.625</v>
      </c>
      <c r="N76" s="55">
        <f t="shared" si="9"/>
        <v>2187.8874999999998</v>
      </c>
      <c r="O76" s="33" t="s">
        <v>69</v>
      </c>
      <c r="P76" s="60" t="s">
        <v>246</v>
      </c>
      <c r="Q76" s="60" t="s">
        <v>247</v>
      </c>
      <c r="R76" s="141"/>
      <c r="S76" s="77">
        <v>325311</v>
      </c>
      <c r="T76" s="60" t="s">
        <v>56</v>
      </c>
    </row>
    <row r="77" spans="1:20" x14ac:dyDescent="0.2">
      <c r="A77" s="45">
        <v>73</v>
      </c>
      <c r="B77" s="84" t="s">
        <v>248</v>
      </c>
      <c r="C77" s="46" t="s">
        <v>249</v>
      </c>
      <c r="D77" s="76" t="s">
        <v>250</v>
      </c>
      <c r="E77" s="74">
        <v>1207</v>
      </c>
      <c r="F77" s="52">
        <v>1207</v>
      </c>
      <c r="G77" s="50">
        <f t="shared" si="5"/>
        <v>90.524999999999991</v>
      </c>
      <c r="H77" s="50">
        <f t="shared" si="6"/>
        <v>171.99749999999997</v>
      </c>
      <c r="I77" s="51">
        <f t="shared" si="7"/>
        <v>24.866666666666664</v>
      </c>
      <c r="J77" s="52"/>
      <c r="K77" s="52"/>
      <c r="L77" s="53"/>
      <c r="M77" s="54">
        <f t="shared" si="8"/>
        <v>1091.6083333333333</v>
      </c>
      <c r="N77" s="55">
        <f t="shared" si="9"/>
        <v>1378.9974999999999</v>
      </c>
      <c r="O77" s="33" t="s">
        <v>54</v>
      </c>
      <c r="P77" s="60" t="s">
        <v>248</v>
      </c>
      <c r="Q77" s="60" t="s">
        <v>249</v>
      </c>
      <c r="R77" s="85"/>
      <c r="S77" s="122">
        <v>325411</v>
      </c>
      <c r="T77" t="s">
        <v>56</v>
      </c>
    </row>
    <row r="78" spans="1:20" x14ac:dyDescent="0.2">
      <c r="A78" s="45">
        <v>74</v>
      </c>
      <c r="B78" s="84" t="s">
        <v>251</v>
      </c>
      <c r="C78" s="46" t="s">
        <v>252</v>
      </c>
      <c r="D78" s="76" t="s">
        <v>253</v>
      </c>
      <c r="E78" s="74">
        <v>1560</v>
      </c>
      <c r="F78" s="52">
        <v>1560</v>
      </c>
      <c r="G78" s="50">
        <f t="shared" si="5"/>
        <v>117</v>
      </c>
      <c r="H78" s="50">
        <f t="shared" si="6"/>
        <v>222.29999999999998</v>
      </c>
      <c r="I78" s="51">
        <f t="shared" si="7"/>
        <v>60.166666666666664</v>
      </c>
      <c r="J78" s="52"/>
      <c r="K78" s="52"/>
      <c r="L78" s="53"/>
      <c r="M78" s="54">
        <f t="shared" si="8"/>
        <v>1382.8333333333333</v>
      </c>
      <c r="N78" s="55">
        <f t="shared" si="9"/>
        <v>1782.3</v>
      </c>
      <c r="O78" s="33" t="s">
        <v>54</v>
      </c>
      <c r="P78" s="60" t="s">
        <v>251</v>
      </c>
      <c r="Q78" s="60" t="s">
        <v>252</v>
      </c>
      <c r="R78" s="85"/>
      <c r="S78" s="122">
        <v>318223</v>
      </c>
      <c r="T78" t="s">
        <v>254</v>
      </c>
    </row>
    <row r="79" spans="1:20" ht="15" thickBot="1" x14ac:dyDescent="0.25">
      <c r="A79" s="45">
        <v>75</v>
      </c>
      <c r="B79" s="84" t="s">
        <v>255</v>
      </c>
      <c r="C79" s="46" t="s">
        <v>256</v>
      </c>
      <c r="D79" s="76" t="s">
        <v>257</v>
      </c>
      <c r="E79" s="74">
        <v>2500</v>
      </c>
      <c r="F79" s="52">
        <v>2500</v>
      </c>
      <c r="G79" s="50">
        <f t="shared" si="5"/>
        <v>187.5</v>
      </c>
      <c r="H79" s="50">
        <f t="shared" si="6"/>
        <v>356.24999999999994</v>
      </c>
      <c r="I79" s="51">
        <f t="shared" si="7"/>
        <v>87.5</v>
      </c>
      <c r="J79" s="52"/>
      <c r="K79" s="52"/>
      <c r="L79" s="53"/>
      <c r="M79" s="54">
        <f t="shared" si="8"/>
        <v>2225</v>
      </c>
      <c r="N79" s="55">
        <f t="shared" si="9"/>
        <v>2856.25</v>
      </c>
      <c r="O79" s="33" t="s">
        <v>69</v>
      </c>
      <c r="P79" s="60" t="s">
        <v>255</v>
      </c>
      <c r="Q79" s="60" t="s">
        <v>256</v>
      </c>
      <c r="R79" s="85"/>
      <c r="S79" s="122">
        <v>323111</v>
      </c>
      <c r="T79" t="s">
        <v>240</v>
      </c>
    </row>
    <row r="80" spans="1:20" x14ac:dyDescent="0.2">
      <c r="A80" s="63">
        <v>76</v>
      </c>
      <c r="B80" s="84" t="s">
        <v>258</v>
      </c>
      <c r="C80" s="46" t="s">
        <v>259</v>
      </c>
      <c r="D80" s="76" t="s">
        <v>260</v>
      </c>
      <c r="E80" s="74">
        <v>700</v>
      </c>
      <c r="F80" s="52">
        <v>700</v>
      </c>
      <c r="G80" s="50">
        <f t="shared" si="5"/>
        <v>52.5</v>
      </c>
      <c r="H80" s="50">
        <f t="shared" si="6"/>
        <v>99.749999999999986</v>
      </c>
      <c r="I80" s="51">
        <f t="shared" si="7"/>
        <v>0</v>
      </c>
      <c r="J80" s="52"/>
      <c r="K80" s="52"/>
      <c r="L80" s="53"/>
      <c r="M80" s="54">
        <f t="shared" si="8"/>
        <v>647.5</v>
      </c>
      <c r="N80" s="55">
        <f t="shared" si="9"/>
        <v>799.75</v>
      </c>
      <c r="O80" s="33" t="s">
        <v>54</v>
      </c>
      <c r="P80" s="60" t="s">
        <v>258</v>
      </c>
      <c r="Q80" s="60" t="s">
        <v>259</v>
      </c>
      <c r="R80" s="85"/>
      <c r="S80" s="122">
        <v>131111</v>
      </c>
      <c r="T80" t="s">
        <v>164</v>
      </c>
    </row>
    <row r="81" spans="1:20" x14ac:dyDescent="0.2">
      <c r="A81" s="45">
        <v>77</v>
      </c>
      <c r="B81" s="84" t="s">
        <v>261</v>
      </c>
      <c r="C81" s="46" t="s">
        <v>262</v>
      </c>
      <c r="D81" s="76" t="s">
        <v>263</v>
      </c>
      <c r="E81" s="74">
        <v>1560</v>
      </c>
      <c r="F81" s="52">
        <v>1560</v>
      </c>
      <c r="G81" s="50">
        <f t="shared" si="5"/>
        <v>117</v>
      </c>
      <c r="H81" s="50">
        <f t="shared" si="6"/>
        <v>222.29999999999998</v>
      </c>
      <c r="I81" s="51">
        <f t="shared" si="7"/>
        <v>3</v>
      </c>
      <c r="J81" s="52"/>
      <c r="K81" s="52"/>
      <c r="L81" s="53"/>
      <c r="M81" s="54">
        <f t="shared" si="8"/>
        <v>1440</v>
      </c>
      <c r="N81" s="55">
        <f t="shared" si="9"/>
        <v>1782.3</v>
      </c>
      <c r="O81" s="33" t="s">
        <v>69</v>
      </c>
      <c r="P81" s="60" t="s">
        <v>261</v>
      </c>
      <c r="Q81" s="60" t="s">
        <v>262</v>
      </c>
      <c r="R81" s="85"/>
      <c r="S81" s="122">
        <v>329111</v>
      </c>
      <c r="T81" t="s">
        <v>264</v>
      </c>
    </row>
    <row r="82" spans="1:20" x14ac:dyDescent="0.2">
      <c r="A82" s="45">
        <v>78</v>
      </c>
      <c r="B82" s="84" t="s">
        <v>265</v>
      </c>
      <c r="C82" s="46" t="s">
        <v>266</v>
      </c>
      <c r="D82" s="76" t="s">
        <v>263</v>
      </c>
      <c r="E82" s="74">
        <v>1560</v>
      </c>
      <c r="F82" s="52">
        <v>1560</v>
      </c>
      <c r="G82" s="50">
        <f t="shared" si="5"/>
        <v>117</v>
      </c>
      <c r="H82" s="50">
        <f t="shared" si="6"/>
        <v>222.29999999999998</v>
      </c>
      <c r="I82" s="51">
        <f t="shared" si="7"/>
        <v>3</v>
      </c>
      <c r="J82" s="52"/>
      <c r="K82" s="52"/>
      <c r="L82" s="53"/>
      <c r="M82" s="54">
        <f t="shared" si="8"/>
        <v>1440</v>
      </c>
      <c r="N82" s="55">
        <f t="shared" si="9"/>
        <v>1782.3</v>
      </c>
      <c r="O82" s="33" t="s">
        <v>69</v>
      </c>
      <c r="P82" s="60" t="s">
        <v>265</v>
      </c>
      <c r="Q82" s="60" t="s">
        <v>266</v>
      </c>
      <c r="R82" s="85"/>
      <c r="S82" s="122">
        <v>329111</v>
      </c>
      <c r="T82" t="s">
        <v>264</v>
      </c>
    </row>
    <row r="83" spans="1:20" x14ac:dyDescent="0.2">
      <c r="A83" s="45">
        <v>79</v>
      </c>
      <c r="B83" s="84" t="s">
        <v>267</v>
      </c>
      <c r="C83" s="46" t="s">
        <v>268</v>
      </c>
      <c r="D83" s="76" t="s">
        <v>269</v>
      </c>
      <c r="E83" s="74">
        <v>1420</v>
      </c>
      <c r="F83" s="52">
        <v>1420</v>
      </c>
      <c r="G83" s="50">
        <f t="shared" si="5"/>
        <v>106.5</v>
      </c>
      <c r="H83" s="50">
        <f t="shared" si="6"/>
        <v>202.35</v>
      </c>
      <c r="I83" s="51">
        <f t="shared" si="7"/>
        <v>46.166666666666664</v>
      </c>
      <c r="J83" s="52"/>
      <c r="K83" s="52"/>
      <c r="L83" s="53"/>
      <c r="M83" s="54">
        <f t="shared" si="8"/>
        <v>1267.3333333333333</v>
      </c>
      <c r="N83" s="55">
        <f t="shared" si="9"/>
        <v>1622.35</v>
      </c>
      <c r="O83" s="33" t="s">
        <v>54</v>
      </c>
      <c r="P83" s="60" t="s">
        <v>267</v>
      </c>
      <c r="Q83" s="60" t="s">
        <v>268</v>
      </c>
      <c r="R83" s="85"/>
      <c r="S83" s="122">
        <v>329111</v>
      </c>
      <c r="T83" t="s">
        <v>264</v>
      </c>
    </row>
    <row r="84" spans="1:20" x14ac:dyDescent="0.2">
      <c r="A84" s="45">
        <v>80</v>
      </c>
      <c r="B84" s="84" t="s">
        <v>270</v>
      </c>
      <c r="C84" s="46" t="s">
        <v>271</v>
      </c>
      <c r="D84" s="76" t="s">
        <v>250</v>
      </c>
      <c r="E84" s="74">
        <v>1207</v>
      </c>
      <c r="F84" s="52">
        <v>1207</v>
      </c>
      <c r="G84" s="50">
        <f t="shared" si="5"/>
        <v>90.524999999999991</v>
      </c>
      <c r="H84" s="50">
        <f t="shared" si="6"/>
        <v>171.99749999999997</v>
      </c>
      <c r="I84" s="51">
        <f t="shared" si="7"/>
        <v>24.866666666666664</v>
      </c>
      <c r="J84" s="52"/>
      <c r="K84" s="52"/>
      <c r="L84" s="53"/>
      <c r="M84" s="54">
        <f t="shared" si="8"/>
        <v>1091.6083333333333</v>
      </c>
      <c r="N84" s="55">
        <f t="shared" si="9"/>
        <v>1378.9974999999999</v>
      </c>
      <c r="O84" s="33" t="s">
        <v>54</v>
      </c>
      <c r="P84" s="60" t="s">
        <v>270</v>
      </c>
      <c r="Q84" s="60" t="s">
        <v>271</v>
      </c>
      <c r="R84" s="85"/>
      <c r="S84" s="122">
        <v>325411</v>
      </c>
      <c r="T84" t="s">
        <v>56</v>
      </c>
    </row>
    <row r="85" spans="1:20" x14ac:dyDescent="0.2">
      <c r="A85" s="45">
        <v>81</v>
      </c>
      <c r="B85" s="84" t="s">
        <v>272</v>
      </c>
      <c r="C85" s="46" t="s">
        <v>273</v>
      </c>
      <c r="D85" s="76" t="s">
        <v>274</v>
      </c>
      <c r="E85" s="74">
        <v>675</v>
      </c>
      <c r="F85" s="52">
        <v>675</v>
      </c>
      <c r="G85" s="50">
        <f t="shared" si="5"/>
        <v>50.625</v>
      </c>
      <c r="H85" s="50">
        <f t="shared" si="6"/>
        <v>96.187499999999986</v>
      </c>
      <c r="I85" s="51">
        <f t="shared" si="7"/>
        <v>0</v>
      </c>
      <c r="J85" s="52"/>
      <c r="K85" s="52"/>
      <c r="L85" s="53"/>
      <c r="M85" s="54">
        <f t="shared" si="8"/>
        <v>624.375</v>
      </c>
      <c r="N85" s="55">
        <f t="shared" si="9"/>
        <v>771.1875</v>
      </c>
      <c r="O85" s="33" t="s">
        <v>54</v>
      </c>
      <c r="P85" s="60" t="s">
        <v>272</v>
      </c>
      <c r="Q85" s="60" t="s">
        <v>273</v>
      </c>
      <c r="R85" s="85"/>
      <c r="S85" s="122">
        <v>325411</v>
      </c>
      <c r="T85" t="s">
        <v>275</v>
      </c>
    </row>
    <row r="86" spans="1:20" x14ac:dyDescent="0.2">
      <c r="A86" s="45">
        <v>82</v>
      </c>
      <c r="B86" s="84" t="s">
        <v>276</v>
      </c>
      <c r="C86" s="46" t="s">
        <v>277</v>
      </c>
      <c r="D86" s="76" t="s">
        <v>278</v>
      </c>
      <c r="E86" s="74">
        <v>530</v>
      </c>
      <c r="F86" s="52">
        <v>530</v>
      </c>
      <c r="G86" s="50">
        <f t="shared" si="5"/>
        <v>39.75</v>
      </c>
      <c r="H86" s="50">
        <f t="shared" si="6"/>
        <v>75.524999999999991</v>
      </c>
      <c r="I86" s="51">
        <f t="shared" si="7"/>
        <v>0</v>
      </c>
      <c r="J86" s="52"/>
      <c r="K86" s="52"/>
      <c r="L86" s="53"/>
      <c r="M86" s="54">
        <f t="shared" si="8"/>
        <v>490.25</v>
      </c>
      <c r="N86" s="55">
        <f t="shared" si="9"/>
        <v>605.52499999999998</v>
      </c>
      <c r="O86" s="33" t="s">
        <v>54</v>
      </c>
      <c r="P86" s="60" t="s">
        <v>276</v>
      </c>
      <c r="Q86" s="60" t="s">
        <v>277</v>
      </c>
      <c r="R86" s="85"/>
      <c r="S86" s="122">
        <v>325411</v>
      </c>
      <c r="T86" t="s">
        <v>275</v>
      </c>
    </row>
    <row r="87" spans="1:20" ht="15" thickBot="1" x14ac:dyDescent="0.25">
      <c r="A87" s="45">
        <v>83</v>
      </c>
      <c r="B87" s="84" t="s">
        <v>279</v>
      </c>
      <c r="C87" s="46" t="s">
        <v>280</v>
      </c>
      <c r="D87" s="76" t="s">
        <v>250</v>
      </c>
      <c r="E87" s="74">
        <v>1280</v>
      </c>
      <c r="F87" s="52">
        <v>1280</v>
      </c>
      <c r="G87" s="50">
        <f t="shared" si="5"/>
        <v>96</v>
      </c>
      <c r="H87" s="50">
        <f t="shared" si="6"/>
        <v>182.39999999999998</v>
      </c>
      <c r="I87" s="51">
        <f t="shared" si="7"/>
        <v>32.166666666666664</v>
      </c>
      <c r="J87" s="52"/>
      <c r="K87" s="52">
        <v>141.6</v>
      </c>
      <c r="L87" s="53"/>
      <c r="M87" s="54">
        <f t="shared" si="8"/>
        <v>1293.4333333333332</v>
      </c>
      <c r="N87" s="55">
        <f t="shared" si="9"/>
        <v>1462.4</v>
      </c>
      <c r="O87" s="33" t="s">
        <v>54</v>
      </c>
      <c r="P87" s="60" t="s">
        <v>279</v>
      </c>
      <c r="Q87" s="60" t="s">
        <v>281</v>
      </c>
      <c r="R87" s="85"/>
      <c r="S87" s="122">
        <v>325311</v>
      </c>
      <c r="T87" t="s">
        <v>56</v>
      </c>
    </row>
    <row r="88" spans="1:20" x14ac:dyDescent="0.2">
      <c r="A88" s="63">
        <v>84</v>
      </c>
      <c r="B88" s="84" t="s">
        <v>282</v>
      </c>
      <c r="C88" s="46" t="s">
        <v>283</v>
      </c>
      <c r="D88" s="76" t="s">
        <v>284</v>
      </c>
      <c r="E88" s="74">
        <v>850</v>
      </c>
      <c r="F88" s="52">
        <v>850</v>
      </c>
      <c r="G88" s="50">
        <f t="shared" si="5"/>
        <v>63.75</v>
      </c>
      <c r="H88" s="50">
        <f t="shared" si="6"/>
        <v>121.12499999999999</v>
      </c>
      <c r="I88" s="51">
        <f t="shared" si="7"/>
        <v>5</v>
      </c>
      <c r="J88" s="52"/>
      <c r="K88" s="52"/>
      <c r="L88" s="53"/>
      <c r="M88" s="54">
        <f t="shared" si="8"/>
        <v>781.25</v>
      </c>
      <c r="N88" s="55">
        <f t="shared" si="9"/>
        <v>971.125</v>
      </c>
      <c r="O88" s="33" t="s">
        <v>54</v>
      </c>
      <c r="P88" s="88" t="s">
        <v>282</v>
      </c>
      <c r="Q88" s="88" t="s">
        <v>283</v>
      </c>
      <c r="R88" s="85"/>
      <c r="S88" s="122">
        <v>323111</v>
      </c>
      <c r="T88" t="s">
        <v>56</v>
      </c>
    </row>
    <row r="89" spans="1:20" x14ac:dyDescent="0.2">
      <c r="A89" s="45">
        <v>85</v>
      </c>
      <c r="B89" s="84" t="s">
        <v>285</v>
      </c>
      <c r="C89" s="46" t="s">
        <v>286</v>
      </c>
      <c r="D89" s="76" t="s">
        <v>287</v>
      </c>
      <c r="E89" s="74">
        <v>550</v>
      </c>
      <c r="F89" s="52">
        <v>550</v>
      </c>
      <c r="G89" s="50">
        <f t="shared" si="5"/>
        <v>41.25</v>
      </c>
      <c r="H89" s="50">
        <f t="shared" si="6"/>
        <v>78.375</v>
      </c>
      <c r="I89" s="51">
        <f t="shared" si="7"/>
        <v>0</v>
      </c>
      <c r="J89" s="52"/>
      <c r="K89" s="52"/>
      <c r="L89" s="53"/>
      <c r="M89" s="54">
        <f t="shared" si="8"/>
        <v>508.75</v>
      </c>
      <c r="N89" s="55">
        <f t="shared" si="9"/>
        <v>628.375</v>
      </c>
      <c r="O89" s="33" t="s">
        <v>54</v>
      </c>
      <c r="P89" s="88" t="s">
        <v>285</v>
      </c>
      <c r="Q89" s="88" t="s">
        <v>286</v>
      </c>
      <c r="R89" s="85"/>
      <c r="S89" s="122">
        <v>323111</v>
      </c>
      <c r="T89" t="s">
        <v>56</v>
      </c>
    </row>
    <row r="90" spans="1:20" x14ac:dyDescent="0.2">
      <c r="A90" s="45">
        <v>86</v>
      </c>
      <c r="B90" s="84" t="s">
        <v>288</v>
      </c>
      <c r="C90" s="46" t="s">
        <v>289</v>
      </c>
      <c r="D90" s="76" t="s">
        <v>287</v>
      </c>
      <c r="E90" s="74">
        <v>550</v>
      </c>
      <c r="F90" s="52">
        <v>550</v>
      </c>
      <c r="G90" s="50">
        <f t="shared" si="5"/>
        <v>41.25</v>
      </c>
      <c r="H90" s="50">
        <f t="shared" si="6"/>
        <v>78.375</v>
      </c>
      <c r="I90" s="51">
        <f t="shared" si="7"/>
        <v>0</v>
      </c>
      <c r="J90" s="52"/>
      <c r="K90" s="52"/>
      <c r="L90" s="53"/>
      <c r="M90" s="54">
        <f t="shared" si="8"/>
        <v>508.75</v>
      </c>
      <c r="N90" s="55">
        <f t="shared" si="9"/>
        <v>628.375</v>
      </c>
      <c r="O90" s="33" t="s">
        <v>54</v>
      </c>
      <c r="P90" s="88" t="s">
        <v>288</v>
      </c>
      <c r="Q90" s="88" t="s">
        <v>289</v>
      </c>
      <c r="R90" s="85"/>
      <c r="S90" s="122">
        <v>323111</v>
      </c>
      <c r="T90" t="s">
        <v>56</v>
      </c>
    </row>
    <row r="91" spans="1:20" ht="15" x14ac:dyDescent="0.25">
      <c r="A91" s="45">
        <v>87</v>
      </c>
      <c r="B91" s="84" t="s">
        <v>290</v>
      </c>
      <c r="C91" s="89" t="s">
        <v>291</v>
      </c>
      <c r="D91" s="76" t="s">
        <v>65</v>
      </c>
      <c r="E91" s="74">
        <v>850</v>
      </c>
      <c r="F91" s="52">
        <v>850</v>
      </c>
      <c r="G91" s="50">
        <f t="shared" si="5"/>
        <v>63.75</v>
      </c>
      <c r="H91" s="50">
        <f t="shared" si="6"/>
        <v>121.12499999999999</v>
      </c>
      <c r="I91" s="51">
        <f t="shared" si="7"/>
        <v>5</v>
      </c>
      <c r="J91" s="52"/>
      <c r="K91" s="52"/>
      <c r="L91" s="53"/>
      <c r="M91" s="54">
        <f t="shared" si="8"/>
        <v>781.25</v>
      </c>
      <c r="N91" s="55">
        <f t="shared" si="9"/>
        <v>971.125</v>
      </c>
      <c r="O91" s="33" t="s">
        <v>54</v>
      </c>
      <c r="P91" s="84" t="s">
        <v>290</v>
      </c>
      <c r="Q91" s="89" t="s">
        <v>291</v>
      </c>
      <c r="R91" s="85"/>
      <c r="S91" s="90">
        <v>323111</v>
      </c>
      <c r="T91" s="60" t="s">
        <v>56</v>
      </c>
    </row>
    <row r="92" spans="1:20" ht="15" x14ac:dyDescent="0.25">
      <c r="A92" s="45">
        <v>88</v>
      </c>
      <c r="B92" s="84" t="s">
        <v>292</v>
      </c>
      <c r="C92" s="89" t="s">
        <v>293</v>
      </c>
      <c r="D92" s="76" t="s">
        <v>65</v>
      </c>
      <c r="E92" s="74">
        <v>850</v>
      </c>
      <c r="F92" s="52">
        <v>850</v>
      </c>
      <c r="G92" s="50">
        <f t="shared" si="5"/>
        <v>63.75</v>
      </c>
      <c r="H92" s="50">
        <f t="shared" si="6"/>
        <v>121.12499999999999</v>
      </c>
      <c r="I92" s="51">
        <f t="shared" si="7"/>
        <v>5</v>
      </c>
      <c r="J92" s="52"/>
      <c r="K92" s="52"/>
      <c r="L92" s="53"/>
      <c r="M92" s="54">
        <f t="shared" si="8"/>
        <v>781.25</v>
      </c>
      <c r="N92" s="55">
        <f t="shared" si="9"/>
        <v>971.125</v>
      </c>
      <c r="O92" s="33" t="s">
        <v>54</v>
      </c>
      <c r="P92" s="84" t="s">
        <v>292</v>
      </c>
      <c r="Q92" s="89" t="s">
        <v>293</v>
      </c>
      <c r="R92" s="85"/>
      <c r="S92" s="90">
        <v>323111</v>
      </c>
      <c r="T92" s="60" t="s">
        <v>56</v>
      </c>
    </row>
    <row r="93" spans="1:20" ht="15" x14ac:dyDescent="0.25">
      <c r="A93" s="45">
        <v>89</v>
      </c>
      <c r="B93" s="84" t="s">
        <v>294</v>
      </c>
      <c r="C93" s="89" t="s">
        <v>295</v>
      </c>
      <c r="D93" s="76" t="s">
        <v>296</v>
      </c>
      <c r="E93" s="74">
        <v>1170</v>
      </c>
      <c r="F93" s="52">
        <v>1170</v>
      </c>
      <c r="G93" s="50">
        <f t="shared" si="5"/>
        <v>87.75</v>
      </c>
      <c r="H93" s="50">
        <f t="shared" si="6"/>
        <v>166.72499999999999</v>
      </c>
      <c r="I93" s="51">
        <f t="shared" si="7"/>
        <v>21.166666666666668</v>
      </c>
      <c r="J93" s="52"/>
      <c r="K93" s="52"/>
      <c r="L93" s="53"/>
      <c r="M93" s="54">
        <f t="shared" si="8"/>
        <v>1061.0833333333333</v>
      </c>
      <c r="N93" s="55">
        <f t="shared" si="9"/>
        <v>1336.7249999999999</v>
      </c>
      <c r="O93" s="33" t="s">
        <v>54</v>
      </c>
      <c r="P93" s="84" t="s">
        <v>294</v>
      </c>
      <c r="Q93" s="89" t="s">
        <v>295</v>
      </c>
      <c r="R93" s="85"/>
      <c r="S93" s="90">
        <v>326111</v>
      </c>
      <c r="T93" s="91" t="s">
        <v>56</v>
      </c>
    </row>
    <row r="94" spans="1:20" ht="15" x14ac:dyDescent="0.25">
      <c r="A94" s="45">
        <v>90</v>
      </c>
      <c r="B94" s="84" t="s">
        <v>297</v>
      </c>
      <c r="C94" s="89" t="s">
        <v>298</v>
      </c>
      <c r="D94" s="76" t="s">
        <v>299</v>
      </c>
      <c r="E94" s="74">
        <v>2770</v>
      </c>
      <c r="F94" s="52">
        <v>2770</v>
      </c>
      <c r="G94" s="50">
        <f t="shared" si="5"/>
        <v>207.75</v>
      </c>
      <c r="H94" s="50">
        <f t="shared" si="6"/>
        <v>394.72499999999997</v>
      </c>
      <c r="I94" s="51">
        <f t="shared" si="7"/>
        <v>129</v>
      </c>
      <c r="J94" s="52"/>
      <c r="K94" s="52"/>
      <c r="L94" s="53"/>
      <c r="M94" s="54">
        <f t="shared" si="8"/>
        <v>2433.25</v>
      </c>
      <c r="N94" s="55">
        <f t="shared" si="9"/>
        <v>3164.7249999999999</v>
      </c>
      <c r="O94" s="33" t="s">
        <v>69</v>
      </c>
      <c r="P94" s="84" t="s">
        <v>297</v>
      </c>
      <c r="Q94" s="89" t="s">
        <v>298</v>
      </c>
      <c r="R94" s="85"/>
      <c r="S94" s="90">
        <v>329111</v>
      </c>
      <c r="T94" s="91" t="s">
        <v>56</v>
      </c>
    </row>
    <row r="95" spans="1:20" ht="15.75" thickBot="1" x14ac:dyDescent="0.3">
      <c r="A95" s="45">
        <v>91</v>
      </c>
      <c r="B95" s="84" t="s">
        <v>447</v>
      </c>
      <c r="C95" s="89" t="s">
        <v>448</v>
      </c>
      <c r="D95" s="76" t="s">
        <v>449</v>
      </c>
      <c r="E95" s="74">
        <v>1350</v>
      </c>
      <c r="F95" s="52">
        <f>E95/31*22</f>
        <v>958.0645161290322</v>
      </c>
      <c r="G95" s="50">
        <f t="shared" si="5"/>
        <v>101.25</v>
      </c>
      <c r="H95" s="50">
        <f t="shared" si="6"/>
        <v>192.37499999999997</v>
      </c>
      <c r="I95" s="51">
        <f t="shared" si="7"/>
        <v>10.40322580645161</v>
      </c>
      <c r="J95" s="52"/>
      <c r="K95" s="51">
        <f>(4.5/22)*E95</f>
        <v>276.13636363636363</v>
      </c>
      <c r="L95" s="53"/>
      <c r="M95" s="54">
        <f t="shared" si="8"/>
        <v>1122.547653958944</v>
      </c>
      <c r="N95" s="55">
        <f>F95+H95+K95</f>
        <v>1426.5758797653957</v>
      </c>
      <c r="O95" s="33" t="s">
        <v>54</v>
      </c>
      <c r="P95" s="84" t="s">
        <v>447</v>
      </c>
      <c r="Q95" s="89" t="s">
        <v>448</v>
      </c>
      <c r="R95" s="85"/>
      <c r="S95" s="77">
        <v>122311</v>
      </c>
      <c r="T95" s="142" t="s">
        <v>110</v>
      </c>
    </row>
    <row r="96" spans="1:20" x14ac:dyDescent="0.2">
      <c r="A96" s="63">
        <v>92</v>
      </c>
      <c r="B96" s="84" t="s">
        <v>300</v>
      </c>
      <c r="C96" s="92" t="s">
        <v>301</v>
      </c>
      <c r="D96" s="76" t="s">
        <v>302</v>
      </c>
      <c r="E96" s="74">
        <v>1420</v>
      </c>
      <c r="F96" s="52">
        <v>1420</v>
      </c>
      <c r="G96" s="50">
        <f t="shared" si="5"/>
        <v>106.5</v>
      </c>
      <c r="H96" s="50">
        <f t="shared" si="6"/>
        <v>202.35</v>
      </c>
      <c r="I96" s="51">
        <f t="shared" si="7"/>
        <v>46.166666666666664</v>
      </c>
      <c r="J96" s="52"/>
      <c r="K96" s="52"/>
      <c r="L96" s="53"/>
      <c r="M96" s="54">
        <f t="shared" si="8"/>
        <v>1267.3333333333333</v>
      </c>
      <c r="N96" s="55">
        <f t="shared" ref="N96:N110" si="10">F96+H96</f>
        <v>1622.35</v>
      </c>
      <c r="O96" s="33" t="s">
        <v>54</v>
      </c>
      <c r="P96" s="84" t="s">
        <v>300</v>
      </c>
      <c r="Q96" s="92" t="s">
        <v>301</v>
      </c>
      <c r="R96" s="85"/>
      <c r="S96" s="90">
        <v>325311</v>
      </c>
      <c r="T96" s="91" t="s">
        <v>56</v>
      </c>
    </row>
    <row r="97" spans="1:20" x14ac:dyDescent="0.2">
      <c r="A97" s="45">
        <v>93</v>
      </c>
      <c r="B97" s="84" t="s">
        <v>303</v>
      </c>
      <c r="C97" s="92" t="s">
        <v>304</v>
      </c>
      <c r="D97" s="76" t="s">
        <v>302</v>
      </c>
      <c r="E97" s="74">
        <v>1490</v>
      </c>
      <c r="F97" s="52">
        <v>1490</v>
      </c>
      <c r="G97" s="50">
        <f t="shared" si="5"/>
        <v>111.75</v>
      </c>
      <c r="H97" s="50">
        <f t="shared" si="6"/>
        <v>212.32499999999999</v>
      </c>
      <c r="I97" s="51">
        <f t="shared" si="7"/>
        <v>53.166666666666664</v>
      </c>
      <c r="J97" s="52"/>
      <c r="K97" s="52"/>
      <c r="L97" s="53"/>
      <c r="M97" s="54">
        <f t="shared" si="8"/>
        <v>1325.0833333333333</v>
      </c>
      <c r="N97" s="55">
        <f t="shared" si="10"/>
        <v>1702.325</v>
      </c>
      <c r="O97" s="33" t="s">
        <v>54</v>
      </c>
      <c r="P97" s="84" t="s">
        <v>303</v>
      </c>
      <c r="Q97" s="92" t="s">
        <v>304</v>
      </c>
      <c r="R97" s="85"/>
      <c r="S97" s="122">
        <v>325311</v>
      </c>
      <c r="T97" s="143" t="s">
        <v>56</v>
      </c>
    </row>
    <row r="98" spans="1:20" x14ac:dyDescent="0.2">
      <c r="A98" s="45">
        <v>94</v>
      </c>
      <c r="B98" s="84" t="s">
        <v>305</v>
      </c>
      <c r="C98" s="92" t="s">
        <v>306</v>
      </c>
      <c r="D98" s="76" t="s">
        <v>307</v>
      </c>
      <c r="E98" s="74">
        <v>1008</v>
      </c>
      <c r="F98" s="52">
        <v>1008</v>
      </c>
      <c r="G98" s="50">
        <f t="shared" si="5"/>
        <v>75.599999999999994</v>
      </c>
      <c r="H98" s="50">
        <f t="shared" si="6"/>
        <v>143.63999999999999</v>
      </c>
      <c r="I98" s="51">
        <f t="shared" si="7"/>
        <v>12.9</v>
      </c>
      <c r="J98" s="52"/>
      <c r="K98" s="52"/>
      <c r="L98" s="53"/>
      <c r="M98" s="54">
        <f t="shared" si="8"/>
        <v>919.5</v>
      </c>
      <c r="N98" s="55">
        <f t="shared" si="10"/>
        <v>1151.6399999999999</v>
      </c>
      <c r="O98" s="33" t="s">
        <v>54</v>
      </c>
      <c r="P98" s="84" t="s">
        <v>305</v>
      </c>
      <c r="Q98" s="92" t="s">
        <v>306</v>
      </c>
      <c r="R98" s="85"/>
      <c r="S98" s="122">
        <v>322111</v>
      </c>
      <c r="T98" s="143" t="s">
        <v>56</v>
      </c>
    </row>
    <row r="99" spans="1:20" x14ac:dyDescent="0.2">
      <c r="A99" s="45">
        <v>95</v>
      </c>
      <c r="B99" s="84" t="s">
        <v>308</v>
      </c>
      <c r="C99" s="92" t="s">
        <v>309</v>
      </c>
      <c r="D99" s="76" t="s">
        <v>310</v>
      </c>
      <c r="E99" s="74">
        <v>2130</v>
      </c>
      <c r="F99" s="52">
        <v>2130</v>
      </c>
      <c r="G99" s="50">
        <f t="shared" si="5"/>
        <v>159.75</v>
      </c>
      <c r="H99" s="50">
        <f t="shared" si="6"/>
        <v>303.52499999999998</v>
      </c>
      <c r="I99" s="51">
        <f t="shared" si="7"/>
        <v>151</v>
      </c>
      <c r="J99" s="52"/>
      <c r="K99" s="52"/>
      <c r="L99" s="53"/>
      <c r="M99" s="54">
        <f t="shared" si="8"/>
        <v>1819.25</v>
      </c>
      <c r="N99" s="55">
        <f t="shared" si="10"/>
        <v>2433.5250000000001</v>
      </c>
      <c r="O99" s="33" t="s">
        <v>54</v>
      </c>
      <c r="P99" s="84" t="s">
        <v>308</v>
      </c>
      <c r="Q99" s="92" t="s">
        <v>309</v>
      </c>
      <c r="R99" s="85"/>
      <c r="S99" s="122">
        <v>325311</v>
      </c>
      <c r="T99" t="s">
        <v>56</v>
      </c>
    </row>
    <row r="100" spans="1:20" x14ac:dyDescent="0.2">
      <c r="A100" s="45">
        <v>96</v>
      </c>
      <c r="B100" s="84" t="s">
        <v>311</v>
      </c>
      <c r="C100" s="92" t="s">
        <v>312</v>
      </c>
      <c r="D100" s="76" t="s">
        <v>313</v>
      </c>
      <c r="E100" s="74">
        <v>1880</v>
      </c>
      <c r="F100" s="74">
        <v>1880</v>
      </c>
      <c r="G100" s="50">
        <f t="shared" si="5"/>
        <v>141</v>
      </c>
      <c r="H100" s="50">
        <f t="shared" si="6"/>
        <v>267.89999999999998</v>
      </c>
      <c r="I100" s="51">
        <f t="shared" si="7"/>
        <v>107</v>
      </c>
      <c r="J100" s="52"/>
      <c r="K100" s="52"/>
      <c r="L100" s="53"/>
      <c r="M100" s="54">
        <f t="shared" si="8"/>
        <v>1632</v>
      </c>
      <c r="N100" s="55">
        <f t="shared" si="10"/>
        <v>2147.9</v>
      </c>
      <c r="O100" s="33" t="s">
        <v>54</v>
      </c>
      <c r="P100" s="84" t="s">
        <v>311</v>
      </c>
      <c r="Q100" s="92" t="s">
        <v>312</v>
      </c>
      <c r="R100" s="85"/>
      <c r="S100" s="62">
        <v>329111</v>
      </c>
      <c r="T100" s="94" t="s">
        <v>56</v>
      </c>
    </row>
    <row r="101" spans="1:20" x14ac:dyDescent="0.2">
      <c r="A101" s="45">
        <v>97</v>
      </c>
      <c r="B101" s="84" t="s">
        <v>314</v>
      </c>
      <c r="C101" s="92" t="s">
        <v>315</v>
      </c>
      <c r="D101" s="76" t="s">
        <v>316</v>
      </c>
      <c r="E101" s="74">
        <v>320</v>
      </c>
      <c r="F101" s="52">
        <f t="shared" ref="F101:F106" si="11">E101/31*31</f>
        <v>320</v>
      </c>
      <c r="G101" s="50">
        <f t="shared" si="5"/>
        <v>24</v>
      </c>
      <c r="H101" s="50">
        <f t="shared" si="6"/>
        <v>45.599999999999994</v>
      </c>
      <c r="I101" s="51">
        <f t="shared" si="7"/>
        <v>0</v>
      </c>
      <c r="J101" s="52"/>
      <c r="K101" s="52"/>
      <c r="L101" s="53"/>
      <c r="M101" s="54">
        <f t="shared" si="8"/>
        <v>296</v>
      </c>
      <c r="N101" s="55">
        <f t="shared" si="10"/>
        <v>365.6</v>
      </c>
      <c r="O101" s="33" t="s">
        <v>54</v>
      </c>
      <c r="P101" s="84" t="s">
        <v>314</v>
      </c>
      <c r="Q101" s="92" t="s">
        <v>315</v>
      </c>
      <c r="R101" s="85"/>
      <c r="S101" s="122">
        <v>318531</v>
      </c>
      <c r="T101" t="s">
        <v>317</v>
      </c>
    </row>
    <row r="102" spans="1:20" x14ac:dyDescent="0.2">
      <c r="A102" s="45">
        <v>98</v>
      </c>
      <c r="B102" s="84" t="s">
        <v>318</v>
      </c>
      <c r="C102" s="92" t="s">
        <v>319</v>
      </c>
      <c r="D102" s="76" t="s">
        <v>320</v>
      </c>
      <c r="E102" s="74">
        <v>8300</v>
      </c>
      <c r="F102" s="52">
        <f t="shared" si="11"/>
        <v>8300</v>
      </c>
      <c r="G102" s="50">
        <f>5000*0.075</f>
        <v>375</v>
      </c>
      <c r="H102" s="50">
        <f>5000*0.1425</f>
        <v>712.49999999999989</v>
      </c>
      <c r="I102" s="51">
        <f t="shared" si="7"/>
        <v>1679.1666666666667</v>
      </c>
      <c r="J102" s="52"/>
      <c r="K102" s="52"/>
      <c r="L102" s="53"/>
      <c r="M102" s="54">
        <f t="shared" si="8"/>
        <v>6245.833333333333</v>
      </c>
      <c r="N102" s="55">
        <f t="shared" si="10"/>
        <v>9012.5</v>
      </c>
      <c r="O102" s="33" t="s">
        <v>54</v>
      </c>
      <c r="P102" s="84" t="s">
        <v>318</v>
      </c>
      <c r="Q102" s="92" t="s">
        <v>319</v>
      </c>
      <c r="R102" s="85"/>
      <c r="S102" s="122">
        <v>131111</v>
      </c>
    </row>
    <row r="103" spans="1:20" ht="15" thickBot="1" x14ac:dyDescent="0.25">
      <c r="A103" s="45">
        <v>99</v>
      </c>
      <c r="B103" s="84" t="s">
        <v>321</v>
      </c>
      <c r="C103" s="92" t="s">
        <v>322</v>
      </c>
      <c r="D103" s="76" t="s">
        <v>323</v>
      </c>
      <c r="E103" s="74">
        <v>2550</v>
      </c>
      <c r="F103" s="52">
        <f t="shared" si="11"/>
        <v>2550</v>
      </c>
      <c r="G103" s="50">
        <f t="shared" ref="G103:G110" si="12">E103*0.075</f>
        <v>191.25</v>
      </c>
      <c r="H103" s="50">
        <f t="shared" ref="H103:H110" si="13">E103*0.1425</f>
        <v>363.37499999999994</v>
      </c>
      <c r="I103" s="51">
        <f t="shared" si="7"/>
        <v>241.66666666666666</v>
      </c>
      <c r="J103" s="52"/>
      <c r="K103" s="52"/>
      <c r="L103" s="53"/>
      <c r="M103" s="54">
        <f t="shared" si="8"/>
        <v>2117.0833333333335</v>
      </c>
      <c r="N103" s="55">
        <f t="shared" si="10"/>
        <v>2913.375</v>
      </c>
      <c r="O103" s="33" t="s">
        <v>54</v>
      </c>
      <c r="P103" s="84" t="s">
        <v>321</v>
      </c>
      <c r="Q103" s="92" t="s">
        <v>322</v>
      </c>
      <c r="R103" s="85"/>
      <c r="S103" s="122">
        <v>318242</v>
      </c>
      <c r="T103" t="s">
        <v>324</v>
      </c>
    </row>
    <row r="104" spans="1:20" x14ac:dyDescent="0.2">
      <c r="A104" s="63">
        <v>100</v>
      </c>
      <c r="B104" s="84" t="s">
        <v>325</v>
      </c>
      <c r="C104" s="92" t="s">
        <v>326</v>
      </c>
      <c r="D104" s="76" t="s">
        <v>327</v>
      </c>
      <c r="E104" s="74">
        <v>1350</v>
      </c>
      <c r="F104" s="52">
        <f t="shared" si="11"/>
        <v>1350</v>
      </c>
      <c r="G104" s="50">
        <f t="shared" si="12"/>
        <v>101.25</v>
      </c>
      <c r="H104" s="50">
        <f t="shared" si="13"/>
        <v>192.37499999999997</v>
      </c>
      <c r="I104" s="51">
        <f t="shared" si="7"/>
        <v>39.166666666666664</v>
      </c>
      <c r="J104" s="52"/>
      <c r="K104" s="52"/>
      <c r="L104" s="53"/>
      <c r="M104" s="54">
        <f t="shared" si="8"/>
        <v>1209.5833333333333</v>
      </c>
      <c r="N104" s="55">
        <f t="shared" si="10"/>
        <v>1542.375</v>
      </c>
      <c r="O104" s="33" t="s">
        <v>54</v>
      </c>
      <c r="P104" s="84" t="s">
        <v>325</v>
      </c>
      <c r="Q104" s="92" t="s">
        <v>326</v>
      </c>
      <c r="R104" s="85"/>
      <c r="S104" s="122">
        <v>323111</v>
      </c>
      <c r="T104" t="s">
        <v>240</v>
      </c>
    </row>
    <row r="105" spans="1:20" x14ac:dyDescent="0.2">
      <c r="A105" s="45">
        <v>101</v>
      </c>
      <c r="B105" s="84" t="s">
        <v>328</v>
      </c>
      <c r="C105" s="92" t="s">
        <v>329</v>
      </c>
      <c r="D105" s="76" t="s">
        <v>327</v>
      </c>
      <c r="E105" s="74">
        <v>1350</v>
      </c>
      <c r="F105" s="52">
        <f t="shared" si="11"/>
        <v>1350</v>
      </c>
      <c r="G105" s="50">
        <f t="shared" si="12"/>
        <v>101.25</v>
      </c>
      <c r="H105" s="50">
        <f t="shared" si="13"/>
        <v>192.37499999999997</v>
      </c>
      <c r="I105" s="51">
        <f t="shared" si="7"/>
        <v>39.166666666666664</v>
      </c>
      <c r="J105" s="52"/>
      <c r="K105" s="52"/>
      <c r="L105" s="53"/>
      <c r="M105" s="54">
        <f t="shared" si="8"/>
        <v>1209.5833333333333</v>
      </c>
      <c r="N105" s="55">
        <f t="shared" si="10"/>
        <v>1542.375</v>
      </c>
      <c r="O105" s="33" t="s">
        <v>54</v>
      </c>
      <c r="P105" s="84" t="s">
        <v>328</v>
      </c>
      <c r="Q105" s="92" t="s">
        <v>329</v>
      </c>
      <c r="R105" s="85"/>
      <c r="S105" s="122">
        <v>327111</v>
      </c>
      <c r="T105" t="s">
        <v>330</v>
      </c>
    </row>
    <row r="106" spans="1:20" x14ac:dyDescent="0.2">
      <c r="A106" s="45">
        <v>102</v>
      </c>
      <c r="B106" s="84" t="s">
        <v>331</v>
      </c>
      <c r="C106" s="92" t="s">
        <v>334</v>
      </c>
      <c r="D106" s="76" t="s">
        <v>333</v>
      </c>
      <c r="E106" s="74">
        <v>320</v>
      </c>
      <c r="F106" s="52">
        <f t="shared" si="11"/>
        <v>320</v>
      </c>
      <c r="G106" s="50">
        <f t="shared" si="12"/>
        <v>24</v>
      </c>
      <c r="H106" s="50">
        <f t="shared" si="13"/>
        <v>45.599999999999994</v>
      </c>
      <c r="I106" s="51">
        <f t="shared" si="7"/>
        <v>0</v>
      </c>
      <c r="J106" s="52"/>
      <c r="K106" s="52"/>
      <c r="L106" s="53"/>
      <c r="M106" s="54">
        <f t="shared" si="8"/>
        <v>296</v>
      </c>
      <c r="N106" s="55">
        <f t="shared" si="10"/>
        <v>365.6</v>
      </c>
      <c r="O106" s="33" t="s">
        <v>54</v>
      </c>
      <c r="P106" s="84" t="s">
        <v>331</v>
      </c>
      <c r="Q106" s="92" t="s">
        <v>334</v>
      </c>
      <c r="R106" s="85"/>
      <c r="S106" s="122">
        <v>323111</v>
      </c>
      <c r="T106" t="s">
        <v>56</v>
      </c>
    </row>
    <row r="107" spans="1:20" x14ac:dyDescent="0.2">
      <c r="A107" s="45">
        <v>103</v>
      </c>
      <c r="B107" s="84" t="s">
        <v>335</v>
      </c>
      <c r="C107" s="92" t="s">
        <v>336</v>
      </c>
      <c r="D107" s="76" t="s">
        <v>337</v>
      </c>
      <c r="E107" s="74">
        <v>1700</v>
      </c>
      <c r="F107" s="52">
        <f>E107/31*28</f>
        <v>1535.483870967742</v>
      </c>
      <c r="G107" s="50">
        <f t="shared" si="12"/>
        <v>127.5</v>
      </c>
      <c r="H107" s="50">
        <f t="shared" si="13"/>
        <v>242.24999999999997</v>
      </c>
      <c r="I107" s="51">
        <f t="shared" si="7"/>
        <v>57.715053763440856</v>
      </c>
      <c r="J107" s="52"/>
      <c r="K107" s="52"/>
      <c r="L107" s="53"/>
      <c r="M107" s="54">
        <f t="shared" si="8"/>
        <v>1350.2688172043011</v>
      </c>
      <c r="N107" s="55">
        <f t="shared" si="10"/>
        <v>1777.733870967742</v>
      </c>
      <c r="O107" s="33" t="s">
        <v>54</v>
      </c>
      <c r="P107" s="84" t="s">
        <v>335</v>
      </c>
      <c r="Q107" s="92" t="s">
        <v>338</v>
      </c>
      <c r="S107" s="122">
        <v>111111</v>
      </c>
      <c r="T107" t="s">
        <v>177</v>
      </c>
    </row>
    <row r="108" spans="1:20" x14ac:dyDescent="0.2">
      <c r="A108" s="45">
        <v>104</v>
      </c>
      <c r="B108" s="84" t="s">
        <v>340</v>
      </c>
      <c r="C108" s="92" t="s">
        <v>341</v>
      </c>
      <c r="D108" s="76" t="s">
        <v>327</v>
      </c>
      <c r="E108" s="74">
        <v>1350</v>
      </c>
      <c r="F108" s="52">
        <f>E108/31*20</f>
        <v>870.9677419354839</v>
      </c>
      <c r="G108" s="50">
        <f t="shared" si="12"/>
        <v>101.25</v>
      </c>
      <c r="H108" s="50">
        <f t="shared" si="13"/>
        <v>192.37499999999997</v>
      </c>
      <c r="I108" s="51">
        <f t="shared" si="7"/>
        <v>6.0483870967741957</v>
      </c>
      <c r="J108" s="52"/>
      <c r="K108" s="52"/>
      <c r="L108" s="53"/>
      <c r="M108" s="54">
        <f t="shared" si="8"/>
        <v>763.66935483870975</v>
      </c>
      <c r="N108" s="55">
        <f t="shared" si="10"/>
        <v>1063.3427419354839</v>
      </c>
      <c r="O108" s="33" t="s">
        <v>54</v>
      </c>
      <c r="P108" s="84" t="s">
        <v>340</v>
      </c>
      <c r="Q108" s="92" t="s">
        <v>342</v>
      </c>
      <c r="S108"/>
    </row>
    <row r="109" spans="1:20" x14ac:dyDescent="0.2">
      <c r="A109" s="45">
        <v>105</v>
      </c>
      <c r="B109" s="84" t="s">
        <v>343</v>
      </c>
      <c r="C109" s="92" t="s">
        <v>344</v>
      </c>
      <c r="D109" s="76" t="s">
        <v>94</v>
      </c>
      <c r="E109" s="74">
        <v>2700</v>
      </c>
      <c r="F109" s="52">
        <f>E109/31*21</f>
        <v>1829.0322580645161</v>
      </c>
      <c r="G109" s="50">
        <f t="shared" si="12"/>
        <v>202.5</v>
      </c>
      <c r="H109" s="50">
        <f t="shared" si="13"/>
        <v>384.74999999999994</v>
      </c>
      <c r="I109" s="51">
        <f t="shared" si="7"/>
        <v>99.354838709677423</v>
      </c>
      <c r="J109" s="52"/>
      <c r="K109" s="52"/>
      <c r="L109" s="53"/>
      <c r="M109" s="54">
        <f t="shared" si="8"/>
        <v>1527.1774193548385</v>
      </c>
      <c r="N109" s="55">
        <f t="shared" si="10"/>
        <v>2213.7822580645161</v>
      </c>
      <c r="O109" s="33" t="s">
        <v>54</v>
      </c>
      <c r="P109" s="84" t="s">
        <v>343</v>
      </c>
      <c r="Q109" s="92" t="s">
        <v>346</v>
      </c>
      <c r="S109"/>
    </row>
    <row r="110" spans="1:20" x14ac:dyDescent="0.2">
      <c r="A110" s="45">
        <v>106</v>
      </c>
      <c r="B110" s="84" t="s">
        <v>347</v>
      </c>
      <c r="C110" s="92" t="s">
        <v>348</v>
      </c>
      <c r="D110" s="76" t="s">
        <v>307</v>
      </c>
      <c r="E110" s="74">
        <v>2430</v>
      </c>
      <c r="F110" s="52">
        <f>E110/31*20</f>
        <v>1567.741935483871</v>
      </c>
      <c r="G110" s="50">
        <f t="shared" si="12"/>
        <v>182.25</v>
      </c>
      <c r="H110" s="50">
        <f t="shared" si="13"/>
        <v>346.27499999999998</v>
      </c>
      <c r="I110" s="51">
        <f t="shared" si="7"/>
        <v>3.3870967741935449</v>
      </c>
      <c r="J110" s="52"/>
      <c r="K110" s="52"/>
      <c r="L110" s="53"/>
      <c r="M110" s="54">
        <f t="shared" si="8"/>
        <v>1382.1048387096776</v>
      </c>
      <c r="N110" s="55">
        <f t="shared" si="10"/>
        <v>1914.0169354838708</v>
      </c>
      <c r="O110" s="33" t="s">
        <v>345</v>
      </c>
      <c r="P110" s="84" t="s">
        <v>347</v>
      </c>
      <c r="Q110" s="92" t="s">
        <v>349</v>
      </c>
      <c r="S110" s="122">
        <v>327111</v>
      </c>
      <c r="T110" t="s">
        <v>330</v>
      </c>
    </row>
    <row r="111" spans="1:20" x14ac:dyDescent="0.2">
      <c r="A111" s="71"/>
      <c r="B111" s="84"/>
      <c r="C111" s="92"/>
      <c r="D111" s="76"/>
      <c r="E111" s="74"/>
      <c r="F111" s="52"/>
      <c r="G111" s="50"/>
      <c r="H111" s="50"/>
      <c r="I111" s="51">
        <f t="shared" si="7"/>
        <v>0</v>
      </c>
      <c r="J111" s="52"/>
      <c r="K111" s="52"/>
      <c r="L111" s="53"/>
      <c r="M111" s="137"/>
      <c r="N111" s="55"/>
      <c r="O111" s="33"/>
      <c r="S111"/>
    </row>
    <row r="112" spans="1:20" x14ac:dyDescent="0.2">
      <c r="A112" s="71"/>
      <c r="B112" s="84"/>
      <c r="C112" s="92"/>
      <c r="D112" s="76"/>
      <c r="E112" s="74"/>
      <c r="F112" s="52"/>
      <c r="G112" s="50"/>
      <c r="H112" s="50"/>
      <c r="I112" s="51">
        <f t="shared" si="7"/>
        <v>0</v>
      </c>
      <c r="J112" s="52"/>
      <c r="K112" s="52"/>
      <c r="L112" s="53"/>
      <c r="M112" s="137"/>
      <c r="N112" s="55"/>
      <c r="O112" s="33"/>
      <c r="S112"/>
    </row>
    <row r="113" spans="1:19" x14ac:dyDescent="0.2">
      <c r="A113" s="66"/>
      <c r="B113" s="66"/>
      <c r="C113" s="46"/>
      <c r="D113" s="46"/>
      <c r="E113" s="74"/>
      <c r="F113" s="52"/>
      <c r="G113" s="50"/>
      <c r="H113" s="50"/>
      <c r="I113" s="51"/>
      <c r="J113" s="52"/>
      <c r="K113" s="52"/>
      <c r="L113" s="53"/>
      <c r="M113" s="138"/>
      <c r="N113" s="55"/>
      <c r="S113"/>
    </row>
    <row r="114" spans="1:19" ht="15.75" x14ac:dyDescent="0.25">
      <c r="B114" s="91"/>
      <c r="D114">
        <f>30-12</f>
        <v>18</v>
      </c>
      <c r="E114" s="101">
        <f t="shared" ref="E114:N114" si="14">SUM(E5:E113)</f>
        <v>157180</v>
      </c>
      <c r="F114" s="101">
        <f t="shared" si="14"/>
        <v>154411.29032258064</v>
      </c>
      <c r="G114" s="101">
        <f t="shared" si="14"/>
        <v>11541</v>
      </c>
      <c r="H114" s="101">
        <f t="shared" si="14"/>
        <v>21927.899999999998</v>
      </c>
      <c r="I114" s="101">
        <f t="shared" si="14"/>
        <v>6866.8419354838725</v>
      </c>
      <c r="J114" s="101">
        <f t="shared" si="14"/>
        <v>0</v>
      </c>
      <c r="K114" s="101">
        <f t="shared" si="14"/>
        <v>417.73636363636365</v>
      </c>
      <c r="L114" s="101">
        <f t="shared" si="14"/>
        <v>0</v>
      </c>
      <c r="M114" s="139">
        <f t="shared" si="14"/>
        <v>136421.18475073308</v>
      </c>
      <c r="N114" s="101">
        <f t="shared" si="14"/>
        <v>176615.32668621704</v>
      </c>
      <c r="S114"/>
    </row>
    <row r="115" spans="1:19" x14ac:dyDescent="0.2">
      <c r="B115" s="91"/>
      <c r="L115" s="102"/>
    </row>
    <row r="116" spans="1:19" ht="15" x14ac:dyDescent="0.25">
      <c r="B116" s="91"/>
      <c r="H116" s="3"/>
      <c r="I116" s="3"/>
      <c r="M116" s="103"/>
      <c r="N116" s="104"/>
    </row>
    <row r="117" spans="1:19" ht="15.75" x14ac:dyDescent="0.25">
      <c r="B117" s="91"/>
      <c r="C117" s="105" t="s">
        <v>393</v>
      </c>
      <c r="D117" s="106">
        <f>F114-D119</f>
        <v>147861.29032258064</v>
      </c>
      <c r="E117" s="107" t="s">
        <v>394</v>
      </c>
      <c r="F117" s="108">
        <v>521101</v>
      </c>
      <c r="G117" t="s">
        <v>59</v>
      </c>
      <c r="H117" s="109">
        <v>0.7</v>
      </c>
      <c r="I117" s="3">
        <v>651101</v>
      </c>
      <c r="J117" t="s">
        <v>395</v>
      </c>
      <c r="M117" s="103"/>
    </row>
    <row r="118" spans="1:19" ht="15" x14ac:dyDescent="0.25">
      <c r="B118" s="91"/>
      <c r="D118" s="106">
        <f>H114-D120</f>
        <v>20994.524999999998</v>
      </c>
      <c r="E118" s="107" t="s">
        <v>396</v>
      </c>
      <c r="F118" s="108">
        <v>521107</v>
      </c>
      <c r="G118" t="s">
        <v>59</v>
      </c>
      <c r="H118" s="110" t="s">
        <v>397</v>
      </c>
      <c r="I118" s="110" t="s">
        <v>398</v>
      </c>
      <c r="O118" s="3">
        <v>51111101</v>
      </c>
      <c r="S118" s="111">
        <v>51111107</v>
      </c>
    </row>
    <row r="119" spans="1:19" x14ac:dyDescent="0.2">
      <c r="B119" s="91"/>
      <c r="D119" s="107">
        <f>F24+F45+F50+F54+F80</f>
        <v>6550</v>
      </c>
      <c r="E119" s="107" t="s">
        <v>399</v>
      </c>
      <c r="F119" s="108">
        <v>621101</v>
      </c>
      <c r="G119" t="s">
        <v>400</v>
      </c>
      <c r="H119" s="112">
        <v>651102</v>
      </c>
      <c r="I119" s="113" t="s">
        <v>401</v>
      </c>
      <c r="J119" s="33"/>
      <c r="K119" s="33"/>
      <c r="L119">
        <v>51111101</v>
      </c>
      <c r="M119" s="62">
        <v>111111</v>
      </c>
      <c r="N119" t="s">
        <v>402</v>
      </c>
      <c r="O119" s="114">
        <v>2300</v>
      </c>
      <c r="P119" s="102"/>
      <c r="Q119" s="102"/>
      <c r="R119" s="102"/>
      <c r="S119" s="115">
        <v>327.75</v>
      </c>
    </row>
    <row r="120" spans="1:19" x14ac:dyDescent="0.2">
      <c r="D120" s="116">
        <f>H24+H45+H50+H54+H80</f>
        <v>933.375</v>
      </c>
      <c r="E120" s="107" t="s">
        <v>403</v>
      </c>
      <c r="F120" s="108">
        <v>621107</v>
      </c>
      <c r="G120" t="s">
        <v>400</v>
      </c>
      <c r="H120" s="117"/>
      <c r="I120" s="118"/>
      <c r="J120" s="118"/>
      <c r="K120" s="118"/>
      <c r="L120">
        <v>51111101</v>
      </c>
      <c r="M120" s="62">
        <v>122111</v>
      </c>
      <c r="N120" t="s">
        <v>402</v>
      </c>
      <c r="O120" s="114">
        <v>2500</v>
      </c>
      <c r="P120" s="102"/>
      <c r="Q120" s="102"/>
      <c r="R120" s="102"/>
      <c r="S120" s="115">
        <v>356.24999999999994</v>
      </c>
    </row>
    <row r="121" spans="1:19" x14ac:dyDescent="0.2">
      <c r="D121" s="116"/>
      <c r="E121" s="107" t="s">
        <v>404</v>
      </c>
      <c r="F121" s="108"/>
      <c r="H121" s="110"/>
      <c r="I121" s="118"/>
      <c r="J121" s="118"/>
      <c r="K121" s="118"/>
      <c r="L121">
        <v>51111101</v>
      </c>
      <c r="M121" s="62">
        <v>131111</v>
      </c>
      <c r="N121" t="s">
        <v>402</v>
      </c>
      <c r="O121" s="114">
        <v>8216.67</v>
      </c>
      <c r="P121" s="102"/>
      <c r="Q121" s="102"/>
      <c r="R121" s="102"/>
      <c r="S121" s="115">
        <v>897.75</v>
      </c>
    </row>
    <row r="122" spans="1:19" ht="28.5" x14ac:dyDescent="0.2">
      <c r="D122" s="119"/>
      <c r="E122" s="120" t="s">
        <v>405</v>
      </c>
      <c r="F122" s="108"/>
      <c r="G122" t="s">
        <v>59</v>
      </c>
      <c r="H122" s="118"/>
      <c r="I122" s="118"/>
      <c r="J122" s="118"/>
      <c r="L122">
        <v>51111101</v>
      </c>
      <c r="M122" s="62">
        <v>134311</v>
      </c>
      <c r="N122" t="s">
        <v>402</v>
      </c>
      <c r="O122" s="114">
        <v>450</v>
      </c>
      <c r="P122" s="102"/>
      <c r="Q122" s="102"/>
      <c r="R122" s="102"/>
      <c r="S122" s="115">
        <v>64.13</v>
      </c>
    </row>
    <row r="123" spans="1:19" x14ac:dyDescent="0.2">
      <c r="E123" s="121" t="s">
        <v>406</v>
      </c>
      <c r="G123" t="s">
        <v>59</v>
      </c>
      <c r="H123" s="118"/>
      <c r="I123" s="118"/>
      <c r="J123" s="118"/>
      <c r="L123">
        <v>51111101</v>
      </c>
      <c r="M123" s="62">
        <v>311311</v>
      </c>
      <c r="N123" t="s">
        <v>402</v>
      </c>
      <c r="O123" s="114">
        <v>815</v>
      </c>
      <c r="P123" s="102"/>
      <c r="Q123" s="102"/>
      <c r="R123" s="102"/>
      <c r="S123" s="115">
        <v>116.14</v>
      </c>
    </row>
    <row r="124" spans="1:19" x14ac:dyDescent="0.2">
      <c r="E124" s="121"/>
      <c r="G124" t="s">
        <v>59</v>
      </c>
      <c r="L124">
        <v>51111101</v>
      </c>
      <c r="M124" s="62">
        <v>323111</v>
      </c>
      <c r="N124" t="s">
        <v>402</v>
      </c>
      <c r="O124" s="114">
        <v>61006.33</v>
      </c>
      <c r="P124" s="102"/>
      <c r="Q124" s="102"/>
      <c r="R124" s="102"/>
      <c r="S124" s="115">
        <v>8753.6299999999992</v>
      </c>
    </row>
    <row r="125" spans="1:19" x14ac:dyDescent="0.2">
      <c r="D125" s="121"/>
      <c r="E125" s="121" t="s">
        <v>407</v>
      </c>
      <c r="F125">
        <v>522111</v>
      </c>
      <c r="G125" t="s">
        <v>59</v>
      </c>
      <c r="L125">
        <v>51111101</v>
      </c>
      <c r="M125" s="77">
        <v>122311</v>
      </c>
      <c r="N125" t="s">
        <v>402</v>
      </c>
      <c r="O125" s="114">
        <v>1350</v>
      </c>
      <c r="P125" s="102"/>
      <c r="Q125" s="102"/>
      <c r="R125" s="102"/>
      <c r="S125" s="115">
        <v>192.38</v>
      </c>
    </row>
    <row r="126" spans="1:19" x14ac:dyDescent="0.2">
      <c r="D126" s="104">
        <f>SUM(D116:D125)</f>
        <v>176339.19032258063</v>
      </c>
      <c r="L126">
        <v>51111101</v>
      </c>
      <c r="M126" s="62">
        <v>325311</v>
      </c>
      <c r="N126" t="s">
        <v>402</v>
      </c>
      <c r="O126" s="114">
        <v>18776</v>
      </c>
      <c r="P126" s="102"/>
      <c r="Q126" s="102"/>
      <c r="R126" s="102"/>
      <c r="S126" s="115">
        <v>2675.56</v>
      </c>
    </row>
    <row r="127" spans="1:19" x14ac:dyDescent="0.2">
      <c r="L127">
        <v>51111101</v>
      </c>
      <c r="M127" s="77">
        <v>326111</v>
      </c>
      <c r="N127" t="s">
        <v>402</v>
      </c>
      <c r="O127" s="114">
        <v>1490</v>
      </c>
      <c r="P127" s="102"/>
      <c r="Q127" s="102"/>
      <c r="R127" s="102"/>
      <c r="S127" s="115">
        <v>212.33</v>
      </c>
    </row>
    <row r="128" spans="1:19" x14ac:dyDescent="0.2">
      <c r="E128" s="106">
        <v>118164.74099999999</v>
      </c>
      <c r="F128" s="108" t="s">
        <v>408</v>
      </c>
      <c r="G128" s="108" t="s">
        <v>409</v>
      </c>
      <c r="I128" s="121">
        <f>E138-D126</f>
        <v>-17838.707387096743</v>
      </c>
      <c r="L128">
        <v>51111101</v>
      </c>
      <c r="M128" s="122">
        <v>327111</v>
      </c>
      <c r="N128" t="s">
        <v>402</v>
      </c>
      <c r="O128" s="114">
        <v>1631</v>
      </c>
      <c r="P128" s="102"/>
      <c r="Q128" s="102"/>
      <c r="R128" s="102"/>
      <c r="S128" s="115">
        <v>161.88</v>
      </c>
    </row>
    <row r="129" spans="5:21" x14ac:dyDescent="0.2">
      <c r="E129" s="106">
        <f>G114+H114</f>
        <v>33468.899999999994</v>
      </c>
      <c r="F129" s="108" t="s">
        <v>410</v>
      </c>
      <c r="G129" s="108">
        <v>214311</v>
      </c>
      <c r="L129">
        <v>51111101</v>
      </c>
      <c r="M129" s="62">
        <v>329111</v>
      </c>
      <c r="N129" t="s">
        <v>402</v>
      </c>
      <c r="O129" s="114">
        <v>38636.81</v>
      </c>
      <c r="P129" s="102"/>
      <c r="Q129" s="102"/>
      <c r="R129" s="102"/>
      <c r="S129" s="115">
        <v>5427.96</v>
      </c>
    </row>
    <row r="130" spans="5:21" x14ac:dyDescent="0.2">
      <c r="E130" s="106">
        <f>I114</f>
        <v>6866.8419354838725</v>
      </c>
      <c r="F130" s="108" t="s">
        <v>411</v>
      </c>
      <c r="G130" s="108">
        <v>214801</v>
      </c>
      <c r="L130">
        <v>51111101</v>
      </c>
      <c r="M130" s="62">
        <v>349311</v>
      </c>
      <c r="N130" t="s">
        <v>402</v>
      </c>
      <c r="O130" s="114">
        <v>3275</v>
      </c>
      <c r="P130" s="102"/>
      <c r="Q130" s="102"/>
      <c r="R130" s="102"/>
      <c r="S130" s="115">
        <v>466.69</v>
      </c>
    </row>
    <row r="131" spans="5:21" ht="15" x14ac:dyDescent="0.25">
      <c r="E131" s="123"/>
      <c r="L131">
        <v>51111101</v>
      </c>
      <c r="M131" s="122">
        <v>318223</v>
      </c>
      <c r="N131" t="s">
        <v>402</v>
      </c>
      <c r="O131" s="114">
        <v>1560</v>
      </c>
      <c r="P131" s="124"/>
      <c r="Q131" s="124"/>
      <c r="R131" s="124">
        <f>SUBTOTAL(9,R119:R130)</f>
        <v>0</v>
      </c>
      <c r="S131" s="115">
        <v>222.3</v>
      </c>
    </row>
    <row r="132" spans="5:21" ht="15" x14ac:dyDescent="0.25">
      <c r="E132" s="123"/>
      <c r="L132">
        <v>51111101</v>
      </c>
      <c r="M132" s="122">
        <v>325411</v>
      </c>
      <c r="N132" t="s">
        <v>402</v>
      </c>
      <c r="O132" s="114">
        <v>3619</v>
      </c>
      <c r="P132" s="124"/>
      <c r="Q132" s="124"/>
      <c r="R132" s="124"/>
      <c r="S132" s="115">
        <v>515.71</v>
      </c>
    </row>
    <row r="133" spans="5:21" ht="15" x14ac:dyDescent="0.25">
      <c r="E133" s="123"/>
      <c r="K133" s="125"/>
      <c r="L133">
        <v>51111101</v>
      </c>
      <c r="M133" s="62">
        <v>318242</v>
      </c>
      <c r="N133" t="s">
        <v>402</v>
      </c>
      <c r="O133" s="114">
        <v>1530</v>
      </c>
      <c r="P133" s="124"/>
      <c r="Q133" s="124"/>
      <c r="R133" s="124"/>
      <c r="S133" s="115">
        <v>363.38</v>
      </c>
    </row>
    <row r="134" spans="5:21" ht="15" x14ac:dyDescent="0.25">
      <c r="E134" s="123"/>
      <c r="L134">
        <v>51111101</v>
      </c>
      <c r="M134" s="62">
        <v>318531</v>
      </c>
      <c r="N134" t="s">
        <v>402</v>
      </c>
      <c r="O134" s="114">
        <v>266.67</v>
      </c>
      <c r="P134" s="124"/>
      <c r="Q134" s="124"/>
      <c r="R134" s="124"/>
      <c r="S134" s="115">
        <v>45.6</v>
      </c>
    </row>
    <row r="135" spans="5:21" ht="15" x14ac:dyDescent="0.25">
      <c r="E135" s="123"/>
      <c r="L135">
        <v>51111101</v>
      </c>
      <c r="M135" s="122">
        <v>322111</v>
      </c>
      <c r="N135" t="s">
        <v>402</v>
      </c>
      <c r="O135" s="114">
        <v>1008</v>
      </c>
      <c r="P135" s="124"/>
      <c r="Q135" s="124"/>
      <c r="R135" s="124"/>
      <c r="S135" s="115">
        <v>143.63999999999999</v>
      </c>
    </row>
    <row r="136" spans="5:21" ht="15" x14ac:dyDescent="0.25">
      <c r="E136" s="123"/>
      <c r="M136" s="122"/>
      <c r="O136" s="102"/>
      <c r="P136" s="124"/>
      <c r="Q136" s="124"/>
      <c r="R136" s="124"/>
      <c r="S136" s="115"/>
    </row>
    <row r="137" spans="5:21" ht="15" x14ac:dyDescent="0.25">
      <c r="E137" s="123"/>
      <c r="M137" s="122"/>
      <c r="O137" s="102"/>
      <c r="P137" s="124"/>
      <c r="Q137" s="124"/>
      <c r="R137" s="124"/>
      <c r="S137" s="115"/>
    </row>
    <row r="138" spans="5:21" ht="15" x14ac:dyDescent="0.25">
      <c r="E138" s="126">
        <f>SUM(E128:E131)</f>
        <v>158500.48293548389</v>
      </c>
      <c r="O138" s="124">
        <f>SUBTOTAL(9,O119:O137)</f>
        <v>148430.48000000001</v>
      </c>
      <c r="P138" s="124">
        <f>SUBTOTAL(9,P119:P131)</f>
        <v>0</v>
      </c>
      <c r="Q138" s="124">
        <f>SUBTOTAL(9,Q119:Q131)</f>
        <v>0</v>
      </c>
      <c r="R138" s="124">
        <f>SUBTOTAL(9,R119:R131)</f>
        <v>0</v>
      </c>
      <c r="S138" s="124">
        <f>SUM(S119:S136)</f>
        <v>20943.079999999994</v>
      </c>
      <c r="T138" s="124"/>
      <c r="U138" s="126"/>
    </row>
    <row r="140" spans="5:21" x14ac:dyDescent="0.2">
      <c r="K140" s="103">
        <f>M114</f>
        <v>136421.18475073308</v>
      </c>
      <c r="L140" s="127">
        <v>21141201</v>
      </c>
      <c r="N140" s="128" t="s">
        <v>412</v>
      </c>
    </row>
    <row r="141" spans="5:21" x14ac:dyDescent="0.2">
      <c r="K141" s="104">
        <f>G114+H114</f>
        <v>33468.899999999994</v>
      </c>
      <c r="L141" s="127">
        <v>21141204</v>
      </c>
      <c r="N141" s="128" t="s">
        <v>413</v>
      </c>
    </row>
    <row r="142" spans="5:21" ht="15" x14ac:dyDescent="0.25">
      <c r="K142" s="104">
        <f>I114</f>
        <v>6866.8419354838725</v>
      </c>
      <c r="L142" s="111">
        <v>21141304</v>
      </c>
      <c r="N142" s="128" t="s">
        <v>414</v>
      </c>
    </row>
    <row r="143" spans="5:21" ht="15" x14ac:dyDescent="0.25">
      <c r="S143" s="129">
        <f>SUM(S140:S142)</f>
        <v>0</v>
      </c>
    </row>
    <row r="144" spans="5:21" x14ac:dyDescent="0.2">
      <c r="S144" s="115">
        <f>O138+S138</f>
        <v>169373.56</v>
      </c>
    </row>
    <row r="145" spans="11:13" x14ac:dyDescent="0.2">
      <c r="K145" s="103">
        <f>K140+K141+K142</f>
        <v>176756.92668621696</v>
      </c>
    </row>
    <row r="146" spans="11:13" x14ac:dyDescent="0.2">
      <c r="M146" s="104">
        <f>S144-K145</f>
        <v>-7383.366686216963</v>
      </c>
    </row>
  </sheetData>
  <autoFilter ref="B3:T107" xr:uid="{00000000-0001-0000-0100-000000000000}">
    <filterColumn colId="0" showButton="0"/>
    <filterColumn colId="1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</autoFilter>
  <mergeCells count="4">
    <mergeCell ref="B1:D2"/>
    <mergeCell ref="E1:E2"/>
    <mergeCell ref="B3:D3"/>
    <mergeCell ref="E3:M3"/>
  </mergeCells>
  <conditionalFormatting sqref="L140">
    <cfRule type="duplicateValues" dxfId="59" priority="10"/>
    <cfRule type="duplicateValues" dxfId="58" priority="11"/>
    <cfRule type="duplicateValues" dxfId="57" priority="12"/>
    <cfRule type="duplicateValues" dxfId="56" priority="13"/>
  </conditionalFormatting>
  <conditionalFormatting sqref="L141">
    <cfRule type="duplicateValues" dxfId="55" priority="5"/>
    <cfRule type="duplicateValues" dxfId="54" priority="6"/>
    <cfRule type="duplicateValues" dxfId="53" priority="7"/>
    <cfRule type="duplicateValues" dxfId="52" priority="8"/>
  </conditionalFormatting>
  <conditionalFormatting sqref="L142">
    <cfRule type="duplicateValues" dxfId="51" priority="2"/>
    <cfRule type="duplicateValues" dxfId="50" priority="3"/>
  </conditionalFormatting>
  <conditionalFormatting sqref="M127">
    <cfRule type="duplicateValues" dxfId="49" priority="18"/>
  </conditionalFormatting>
  <conditionalFormatting sqref="N140">
    <cfRule type="duplicateValues" dxfId="48" priority="9"/>
  </conditionalFormatting>
  <conditionalFormatting sqref="N141">
    <cfRule type="duplicateValues" dxfId="47" priority="4"/>
  </conditionalFormatting>
  <conditionalFormatting sqref="N142">
    <cfRule type="duplicateValues" dxfId="46" priority="1"/>
  </conditionalFormatting>
  <conditionalFormatting sqref="P5:P50">
    <cfRule type="duplicateValues" dxfId="45" priority="20"/>
  </conditionalFormatting>
  <conditionalFormatting sqref="S60:S76">
    <cfRule type="duplicateValues" dxfId="44" priority="19"/>
  </conditionalFormatting>
  <conditionalFormatting sqref="S118">
    <cfRule type="duplicateValues" dxfId="43" priority="14"/>
    <cfRule type="duplicateValues" dxfId="42" priority="15"/>
    <cfRule type="duplicateValues" dxfId="41" priority="16"/>
    <cfRule type="duplicateValues" dxfId="40" priority="17"/>
  </conditionalFormatting>
  <pageMargins left="0.7" right="0.7" top="0.75" bottom="0.75" header="0.3" footer="0.3"/>
  <pageSetup paperSize="9" scale="28" orientation="landscape" r:id="rId1"/>
  <headerFooter>
    <oddFooter>&amp;C_x000D_&amp;1#&amp;"Calibri"&amp;10&amp;KFFFF00 Ejada Internal Use Only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5E387-9913-4408-B602-FD7C81B240C8}">
  <sheetPr codeName="Sheet2">
    <pageSetUpPr fitToPage="1"/>
  </sheetPr>
  <dimension ref="A1:V143"/>
  <sheetViews>
    <sheetView topLeftCell="A28" zoomScaleNormal="100" workbookViewId="0">
      <selection activeCell="B91" sqref="B91:M91"/>
    </sheetView>
  </sheetViews>
  <sheetFormatPr defaultRowHeight="14.25" x14ac:dyDescent="0.2"/>
  <cols>
    <col min="1" max="1" width="5.375" style="33" customWidth="1"/>
    <col min="2" max="2" width="10.875" style="33" customWidth="1"/>
    <col min="3" max="3" width="42.625" bestFit="1" customWidth="1"/>
    <col min="4" max="4" width="31.5" customWidth="1"/>
    <col min="5" max="6" width="15.375" customWidth="1"/>
    <col min="7" max="8" width="14.5" customWidth="1"/>
    <col min="9" max="9" width="14.125" customWidth="1"/>
    <col min="10" max="10" width="12.125" customWidth="1"/>
    <col min="11" max="11" width="15" customWidth="1"/>
    <col min="12" max="12" width="14.125" customWidth="1"/>
    <col min="13" max="13" width="17.625" customWidth="1"/>
    <col min="14" max="14" width="21" hidden="1" customWidth="1"/>
    <col min="15" max="15" width="10.25" hidden="1" customWidth="1"/>
    <col min="16" max="16" width="8.75" hidden="1" customWidth="1"/>
    <col min="17" max="17" width="41.625" hidden="1" customWidth="1"/>
    <col min="18" max="18" width="1.375" customWidth="1"/>
    <col min="19" max="19" width="13.25" style="33" customWidth="1"/>
    <col min="20" max="20" width="48.5" bestFit="1" customWidth="1"/>
    <col min="21" max="21" width="12" bestFit="1" customWidth="1"/>
    <col min="23" max="23" width="8.875" customWidth="1"/>
  </cols>
  <sheetData>
    <row r="1" spans="1:20" x14ac:dyDescent="0.2">
      <c r="B1" s="198" t="s">
        <v>440</v>
      </c>
      <c r="C1" s="198"/>
      <c r="D1" s="198"/>
      <c r="E1" s="200">
        <v>45748</v>
      </c>
    </row>
    <row r="2" spans="1:20" ht="15" thickBot="1" x14ac:dyDescent="0.25">
      <c r="B2" s="199"/>
      <c r="C2" s="199"/>
      <c r="D2" s="199"/>
      <c r="E2" s="201"/>
    </row>
    <row r="3" spans="1:20" ht="18.75" thickBot="1" x14ac:dyDescent="0.25">
      <c r="B3" s="202" t="s">
        <v>32</v>
      </c>
      <c r="C3" s="203"/>
      <c r="D3" s="204"/>
      <c r="E3" s="203" t="s">
        <v>33</v>
      </c>
      <c r="F3" s="203"/>
      <c r="G3" s="203"/>
      <c r="H3" s="203"/>
      <c r="I3" s="203"/>
      <c r="J3" s="203"/>
      <c r="K3" s="203"/>
      <c r="L3" s="203"/>
      <c r="M3" s="204"/>
      <c r="N3" s="34" t="s">
        <v>34</v>
      </c>
      <c r="T3" s="33"/>
    </row>
    <row r="4" spans="1:20" ht="45" x14ac:dyDescent="0.2">
      <c r="A4" s="35" t="s">
        <v>35</v>
      </c>
      <c r="B4" s="35" t="s">
        <v>36</v>
      </c>
      <c r="C4" s="36" t="s">
        <v>37</v>
      </c>
      <c r="D4" s="37" t="s">
        <v>38</v>
      </c>
      <c r="E4" s="38" t="s">
        <v>13</v>
      </c>
      <c r="F4" s="39" t="s">
        <v>39</v>
      </c>
      <c r="G4" s="40" t="s">
        <v>40</v>
      </c>
      <c r="H4" s="40" t="s">
        <v>41</v>
      </c>
      <c r="I4" s="39" t="s">
        <v>23</v>
      </c>
      <c r="J4" s="39" t="s">
        <v>24</v>
      </c>
      <c r="K4" s="39" t="s">
        <v>42</v>
      </c>
      <c r="L4" s="39" t="s">
        <v>25</v>
      </c>
      <c r="M4" s="37" t="s">
        <v>43</v>
      </c>
      <c r="N4" s="41" t="s">
        <v>44</v>
      </c>
      <c r="O4" s="42" t="s">
        <v>45</v>
      </c>
      <c r="P4" s="43" t="s">
        <v>46</v>
      </c>
      <c r="Q4" s="43" t="s">
        <v>47</v>
      </c>
      <c r="R4" s="43" t="s">
        <v>48</v>
      </c>
      <c r="S4" s="43" t="s">
        <v>49</v>
      </c>
      <c r="T4" s="44" t="s">
        <v>50</v>
      </c>
    </row>
    <row r="5" spans="1:20" x14ac:dyDescent="0.2">
      <c r="A5" s="45">
        <v>1</v>
      </c>
      <c r="B5" s="45" t="s">
        <v>51</v>
      </c>
      <c r="C5" s="46" t="s">
        <v>52</v>
      </c>
      <c r="D5" s="47" t="s">
        <v>53</v>
      </c>
      <c r="E5" s="48">
        <v>745</v>
      </c>
      <c r="F5" s="49">
        <v>745</v>
      </c>
      <c r="G5" s="50">
        <f>E5*0.075</f>
        <v>55.875</v>
      </c>
      <c r="H5" s="50">
        <f>E5*0.1425</f>
        <v>106.16249999999999</v>
      </c>
      <c r="I5" s="51">
        <f>(IF((O5="No"),(IF((($F5*12)-9000)&lt;0,0,(IF((($F5*12)-9000)&gt;20000,(5000*5%+5000*10%+5000*15%+5000*20%+((($F5*12)-9000)-20000)*25%),IF((($F5*12)-9000)&gt;15000,(5000*5%+5000*10%+5000*15%+((($F5*12)-9000)-15000)*20%),IF((($F5*12)-9000)&gt;10000,(5000*5%+5000*10%+((($F5*12)-9000)-10000)*15%),IF((($F5*12)-9000)&gt;5000,(5000*5%+((($F5*12)-9000)-5000)*10%),IF((($F5*12)-9000)&lt;5000,(($F5*12)-9000)*5%)))))))),((IF((($F5*12)-18000)&lt;0,0,(IF((($F5*12)-18000)&gt;20000,(5000*5%+5000*10%+5000*15%+5000*20%+((($F5*12)-18000)-20000)*25%),IF((($F5*12)-18000)&gt;15000,(5000*5%+5000*10%+5000*15%+((($F5*12)-18000)-15000)*20%),IF((($F5*12)-18000)&gt;10000,(5000*5%+5000*10%+((($F5*12)-18000)-10000)*15%),IF((($F5*12)-18000)&gt;5000,(5000*5%+((($F5*12)-18000)-5000)*10%),IF((($F5*12)-18000)&lt;5000,(($F5*12)-18000)*5%))))))))))/12)</f>
        <v>0</v>
      </c>
      <c r="J5" s="52"/>
      <c r="K5" s="52">
        <v>0</v>
      </c>
      <c r="L5" s="53"/>
      <c r="M5" s="54">
        <f>(F5+K5)-SUM(G5,I5,J5,L5)</f>
        <v>689.125</v>
      </c>
      <c r="N5" s="55">
        <f>F5+H5</f>
        <v>851.16250000000002</v>
      </c>
      <c r="O5" s="33" t="s">
        <v>54</v>
      </c>
      <c r="P5" s="56" t="s">
        <v>51</v>
      </c>
      <c r="Q5" s="56" t="s">
        <v>52</v>
      </c>
      <c r="R5" s="140" t="s">
        <v>55</v>
      </c>
      <c r="S5" s="90">
        <v>329111</v>
      </c>
      <c r="T5" s="60" t="s">
        <v>56</v>
      </c>
    </row>
    <row r="6" spans="1:20" x14ac:dyDescent="0.2">
      <c r="A6" s="45">
        <v>2</v>
      </c>
      <c r="B6" s="45" t="s">
        <v>57</v>
      </c>
      <c r="C6" s="46" t="s">
        <v>58</v>
      </c>
      <c r="D6" s="59" t="s">
        <v>53</v>
      </c>
      <c r="E6" s="48">
        <v>1583</v>
      </c>
      <c r="F6" s="49">
        <v>1583</v>
      </c>
      <c r="G6" s="50">
        <f t="shared" ref="G6:G69" si="0">E6*0.075</f>
        <v>118.72499999999999</v>
      </c>
      <c r="H6" s="50">
        <f t="shared" ref="H6:H69" si="1">E6*0.1425</f>
        <v>225.57749999999999</v>
      </c>
      <c r="I6" s="51">
        <f t="shared" ref="I6:I50" si="2">(IF((O6="No"),(IF((($F6*12)-9000)&lt;0,0,(IF((($F6*12)-9000)&gt;20000,(5000*5%+5000*10%+5000*15%+5000*20%+((($F6*12)-9000)-20000)*25%),IF((($F6*12)-9000)&gt;15000,(5000*5%+5000*10%+5000*15%+((($F6*12)-9000)-15000)*20%),IF((($F6*12)-9000)&gt;10000,(5000*5%+5000*10%+((($F6*12)-9000)-10000)*15%),IF((($F6*12)-9000)&gt;5000,(5000*5%+((($F6*12)-9000)-5000)*10%),IF((($F6*12)-9000)&lt;5000,(($F6*12)-9000)*5%)))))))),((IF((($F6*12)-18000)&lt;0,0,(IF((($F6*12)-18000)&gt;20000,(5000*5%+5000*10%+5000*15%+5000*20%+((($F6*12)-18000)-20000)*25%),IF((($F6*12)-18000)&gt;15000,(5000*5%+5000*10%+5000*15%+((($F6*12)-18000)-15000)*20%),IF((($F6*12)-18000)&gt;10000,(5000*5%+5000*10%+((($F6*12)-18000)-10000)*15%),IF((($F6*12)-18000)&gt;5000,(5000*5%+((($F6*12)-18000)-5000)*10%),IF((($F6*12)-18000)&lt;5000,(($F6*12)-18000)*5%))))))))))/12)</f>
        <v>62.466666666666669</v>
      </c>
      <c r="J6" s="52"/>
      <c r="K6" s="52">
        <v>0</v>
      </c>
      <c r="L6" s="53"/>
      <c r="M6" s="54">
        <f t="shared" ref="M6:M69" si="3">(F6+K6)-SUM(G6,I6,J6,L6)</f>
        <v>1401.8083333333334</v>
      </c>
      <c r="N6" s="55">
        <f t="shared" ref="N6:N69" si="4">F6+H6</f>
        <v>1808.5774999999999</v>
      </c>
      <c r="O6" s="33" t="s">
        <v>54</v>
      </c>
      <c r="P6" s="60" t="s">
        <v>57</v>
      </c>
      <c r="Q6" s="60" t="s">
        <v>58</v>
      </c>
      <c r="R6" s="141" t="s">
        <v>59</v>
      </c>
      <c r="S6" s="62">
        <v>329111</v>
      </c>
      <c r="T6" s="60" t="s">
        <v>56</v>
      </c>
    </row>
    <row r="7" spans="1:20" ht="15" thickBot="1" x14ac:dyDescent="0.25">
      <c r="A7" s="45">
        <v>3</v>
      </c>
      <c r="B7" s="45" t="s">
        <v>60</v>
      </c>
      <c r="C7" s="46" t="s">
        <v>61</v>
      </c>
      <c r="D7" s="47" t="s">
        <v>62</v>
      </c>
      <c r="E7" s="48">
        <v>2755</v>
      </c>
      <c r="F7" s="49">
        <v>2755</v>
      </c>
      <c r="G7" s="50">
        <f t="shared" si="0"/>
        <v>206.625</v>
      </c>
      <c r="H7" s="50">
        <f t="shared" si="1"/>
        <v>392.58749999999998</v>
      </c>
      <c r="I7" s="51">
        <f t="shared" si="2"/>
        <v>292.91666666666669</v>
      </c>
      <c r="J7" s="52"/>
      <c r="K7" s="52">
        <v>0</v>
      </c>
      <c r="L7" s="53"/>
      <c r="M7" s="54">
        <f t="shared" si="3"/>
        <v>2255.4583333333335</v>
      </c>
      <c r="N7" s="55">
        <f t="shared" si="4"/>
        <v>3147.5875000000001</v>
      </c>
      <c r="O7" s="33" t="s">
        <v>54</v>
      </c>
      <c r="P7" s="60" t="s">
        <v>60</v>
      </c>
      <c r="Q7" s="60" t="s">
        <v>61</v>
      </c>
      <c r="R7" s="141" t="s">
        <v>59</v>
      </c>
      <c r="S7" s="62">
        <v>323111</v>
      </c>
      <c r="T7" s="60" t="s">
        <v>56</v>
      </c>
    </row>
    <row r="8" spans="1:20" x14ac:dyDescent="0.2">
      <c r="A8" s="63">
        <v>4</v>
      </c>
      <c r="B8" s="45" t="s">
        <v>63</v>
      </c>
      <c r="C8" s="46" t="s">
        <v>64</v>
      </c>
      <c r="D8" s="47" t="s">
        <v>65</v>
      </c>
      <c r="E8" s="48">
        <v>900</v>
      </c>
      <c r="F8" s="49">
        <v>900</v>
      </c>
      <c r="G8" s="50">
        <f t="shared" si="0"/>
        <v>67.5</v>
      </c>
      <c r="H8" s="50">
        <f t="shared" si="1"/>
        <v>128.25</v>
      </c>
      <c r="I8" s="51">
        <f t="shared" si="2"/>
        <v>7.5</v>
      </c>
      <c r="J8" s="52"/>
      <c r="K8" s="52">
        <v>0</v>
      </c>
      <c r="L8" s="53"/>
      <c r="M8" s="54">
        <f t="shared" si="3"/>
        <v>825</v>
      </c>
      <c r="N8" s="55">
        <f t="shared" si="4"/>
        <v>1028.25</v>
      </c>
      <c r="O8" s="33" t="s">
        <v>54</v>
      </c>
      <c r="P8" s="60" t="s">
        <v>63</v>
      </c>
      <c r="Q8" s="60" t="s">
        <v>64</v>
      </c>
      <c r="R8" s="141" t="s">
        <v>59</v>
      </c>
      <c r="S8" s="62">
        <v>323111</v>
      </c>
      <c r="T8" s="60" t="s">
        <v>56</v>
      </c>
    </row>
    <row r="9" spans="1:20" x14ac:dyDescent="0.2">
      <c r="A9" s="45">
        <v>5</v>
      </c>
      <c r="B9" s="45" t="s">
        <v>66</v>
      </c>
      <c r="C9" s="46" t="s">
        <v>67</v>
      </c>
      <c r="D9" s="47" t="s">
        <v>68</v>
      </c>
      <c r="E9" s="48">
        <v>2428</v>
      </c>
      <c r="F9" s="49">
        <v>2428</v>
      </c>
      <c r="G9" s="50">
        <f t="shared" si="0"/>
        <v>182.1</v>
      </c>
      <c r="H9" s="50">
        <f t="shared" si="1"/>
        <v>345.98999999999995</v>
      </c>
      <c r="I9" s="51">
        <f t="shared" si="2"/>
        <v>76.7</v>
      </c>
      <c r="J9" s="52"/>
      <c r="K9" s="52">
        <v>0</v>
      </c>
      <c r="L9" s="53"/>
      <c r="M9" s="54">
        <f t="shared" si="3"/>
        <v>2169.1999999999998</v>
      </c>
      <c r="N9" s="55">
        <f t="shared" si="4"/>
        <v>2773.99</v>
      </c>
      <c r="O9" s="33" t="s">
        <v>69</v>
      </c>
      <c r="P9" s="60" t="s">
        <v>66</v>
      </c>
      <c r="Q9" s="60" t="s">
        <v>67</v>
      </c>
      <c r="R9" s="141" t="s">
        <v>59</v>
      </c>
      <c r="S9" s="62">
        <v>329111</v>
      </c>
      <c r="T9" s="60" t="s">
        <v>56</v>
      </c>
    </row>
    <row r="10" spans="1:20" x14ac:dyDescent="0.2">
      <c r="A10" s="45">
        <v>6</v>
      </c>
      <c r="B10" s="45" t="s">
        <v>70</v>
      </c>
      <c r="C10" s="46" t="s">
        <v>71</v>
      </c>
      <c r="D10" s="47" t="s">
        <v>65</v>
      </c>
      <c r="E10" s="48">
        <v>1165</v>
      </c>
      <c r="F10" s="49">
        <v>1165</v>
      </c>
      <c r="G10" s="50">
        <f t="shared" si="0"/>
        <v>87.375</v>
      </c>
      <c r="H10" s="50">
        <f t="shared" si="1"/>
        <v>166.01249999999999</v>
      </c>
      <c r="I10" s="51">
        <f t="shared" si="2"/>
        <v>20.75</v>
      </c>
      <c r="J10" s="52"/>
      <c r="K10" s="52">
        <v>0</v>
      </c>
      <c r="L10" s="53"/>
      <c r="M10" s="54">
        <f t="shared" si="3"/>
        <v>1056.875</v>
      </c>
      <c r="N10" s="55">
        <f t="shared" si="4"/>
        <v>1331.0125</v>
      </c>
      <c r="O10" s="33" t="s">
        <v>54</v>
      </c>
      <c r="P10" s="60" t="s">
        <v>70</v>
      </c>
      <c r="Q10" s="60" t="s">
        <v>71</v>
      </c>
      <c r="R10" s="141" t="s">
        <v>59</v>
      </c>
      <c r="S10" s="62">
        <v>323111</v>
      </c>
      <c r="T10" s="60" t="s">
        <v>56</v>
      </c>
    </row>
    <row r="11" spans="1:20" x14ac:dyDescent="0.2">
      <c r="A11" s="45">
        <v>7</v>
      </c>
      <c r="B11" s="45" t="s">
        <v>72</v>
      </c>
      <c r="C11" s="46" t="s">
        <v>73</v>
      </c>
      <c r="D11" s="47" t="s">
        <v>74</v>
      </c>
      <c r="E11" s="48">
        <v>2540</v>
      </c>
      <c r="F11" s="49">
        <v>2540</v>
      </c>
      <c r="G11" s="50">
        <f t="shared" si="0"/>
        <v>190.5</v>
      </c>
      <c r="H11" s="50">
        <f t="shared" si="1"/>
        <v>361.95</v>
      </c>
      <c r="I11" s="51">
        <f t="shared" si="2"/>
        <v>93.5</v>
      </c>
      <c r="J11" s="52"/>
      <c r="K11" s="52">
        <v>0</v>
      </c>
      <c r="L11" s="53"/>
      <c r="M11" s="54">
        <f t="shared" si="3"/>
        <v>2256</v>
      </c>
      <c r="N11" s="55">
        <f t="shared" si="4"/>
        <v>2901.95</v>
      </c>
      <c r="O11" s="33" t="s">
        <v>69</v>
      </c>
      <c r="P11" s="60" t="s">
        <v>72</v>
      </c>
      <c r="Q11" s="60" t="s">
        <v>73</v>
      </c>
      <c r="R11" s="141" t="s">
        <v>59</v>
      </c>
      <c r="S11" s="62">
        <v>323111</v>
      </c>
      <c r="T11" s="60" t="s">
        <v>56</v>
      </c>
    </row>
    <row r="12" spans="1:20" x14ac:dyDescent="0.2">
      <c r="A12" s="45">
        <v>8</v>
      </c>
      <c r="B12" s="64" t="s">
        <v>75</v>
      </c>
      <c r="C12" s="46" t="s">
        <v>76</v>
      </c>
      <c r="D12" s="47" t="s">
        <v>77</v>
      </c>
      <c r="E12" s="65">
        <v>2273</v>
      </c>
      <c r="F12" s="50">
        <v>2273</v>
      </c>
      <c r="G12" s="50">
        <f t="shared" si="0"/>
        <v>170.47499999999999</v>
      </c>
      <c r="H12" s="50">
        <f t="shared" si="1"/>
        <v>323.90249999999997</v>
      </c>
      <c r="I12" s="51">
        <f t="shared" si="2"/>
        <v>56.466666666666669</v>
      </c>
      <c r="J12" s="52"/>
      <c r="K12" s="52">
        <v>0</v>
      </c>
      <c r="L12" s="53"/>
      <c r="M12" s="54">
        <f t="shared" si="3"/>
        <v>2046.0583333333334</v>
      </c>
      <c r="N12" s="55">
        <f t="shared" si="4"/>
        <v>2596.9025000000001</v>
      </c>
      <c r="O12" s="33" t="s">
        <v>69</v>
      </c>
      <c r="P12" s="60" t="s">
        <v>75</v>
      </c>
      <c r="Q12" s="60" t="s">
        <v>76</v>
      </c>
      <c r="R12" s="141" t="s">
        <v>59</v>
      </c>
      <c r="S12" s="62">
        <v>323111</v>
      </c>
      <c r="T12" s="60" t="s">
        <v>56</v>
      </c>
    </row>
    <row r="13" spans="1:20" ht="15" thickBot="1" x14ac:dyDescent="0.25">
      <c r="A13" s="45">
        <v>9</v>
      </c>
      <c r="B13" s="64" t="s">
        <v>450</v>
      </c>
      <c r="C13" s="144" t="s">
        <v>451</v>
      </c>
      <c r="D13" s="59" t="s">
        <v>85</v>
      </c>
      <c r="E13" s="48">
        <v>1022</v>
      </c>
      <c r="F13" s="49">
        <v>1022</v>
      </c>
      <c r="G13" s="50">
        <f t="shared" si="0"/>
        <v>76.649999999999991</v>
      </c>
      <c r="H13" s="50">
        <f t="shared" si="1"/>
        <v>145.63499999999999</v>
      </c>
      <c r="I13" s="51">
        <f t="shared" si="2"/>
        <v>13.600000000000001</v>
      </c>
      <c r="J13" s="52"/>
      <c r="K13" s="52">
        <v>0</v>
      </c>
      <c r="L13" s="53"/>
      <c r="M13" s="54">
        <f t="shared" si="3"/>
        <v>931.75</v>
      </c>
      <c r="N13" s="55">
        <f t="shared" si="4"/>
        <v>1167.635</v>
      </c>
      <c r="O13" s="33" t="s">
        <v>54</v>
      </c>
      <c r="P13" s="60" t="s">
        <v>450</v>
      </c>
      <c r="Q13" s="60" t="s">
        <v>451</v>
      </c>
      <c r="R13" s="141" t="s">
        <v>59</v>
      </c>
      <c r="S13" s="62">
        <v>323111</v>
      </c>
      <c r="T13" s="60" t="s">
        <v>56</v>
      </c>
    </row>
    <row r="14" spans="1:20" x14ac:dyDescent="0.2">
      <c r="A14" s="63">
        <v>10</v>
      </c>
      <c r="B14" s="66" t="s">
        <v>78</v>
      </c>
      <c r="C14" s="46" t="s">
        <v>79</v>
      </c>
      <c r="D14" s="67" t="s">
        <v>74</v>
      </c>
      <c r="E14" s="68">
        <v>2350</v>
      </c>
      <c r="F14" s="52">
        <v>2350</v>
      </c>
      <c r="G14" s="50">
        <f t="shared" si="0"/>
        <v>176.25</v>
      </c>
      <c r="H14" s="50">
        <f t="shared" si="1"/>
        <v>334.87499999999994</v>
      </c>
      <c r="I14" s="51">
        <f t="shared" si="2"/>
        <v>195</v>
      </c>
      <c r="J14" s="52"/>
      <c r="K14" s="52">
        <v>0</v>
      </c>
      <c r="L14" s="53"/>
      <c r="M14" s="54">
        <f t="shared" si="3"/>
        <v>1978.75</v>
      </c>
      <c r="N14" s="55">
        <f t="shared" si="4"/>
        <v>2684.875</v>
      </c>
      <c r="O14" s="33" t="s">
        <v>54</v>
      </c>
      <c r="P14" s="60" t="s">
        <v>78</v>
      </c>
      <c r="Q14" s="60" t="s">
        <v>79</v>
      </c>
      <c r="R14" s="141" t="s">
        <v>59</v>
      </c>
      <c r="S14" s="62">
        <v>323111</v>
      </c>
      <c r="T14" s="60" t="s">
        <v>56</v>
      </c>
    </row>
    <row r="15" spans="1:20" x14ac:dyDescent="0.2">
      <c r="A15" s="45">
        <v>11</v>
      </c>
      <c r="B15" s="66" t="s">
        <v>80</v>
      </c>
      <c r="C15" s="46" t="s">
        <v>81</v>
      </c>
      <c r="D15" s="67" t="s">
        <v>82</v>
      </c>
      <c r="E15" s="68">
        <v>710</v>
      </c>
      <c r="F15" s="52">
        <v>710</v>
      </c>
      <c r="G15" s="50">
        <f t="shared" si="0"/>
        <v>53.25</v>
      </c>
      <c r="H15" s="50">
        <f t="shared" si="1"/>
        <v>101.175</v>
      </c>
      <c r="I15" s="51">
        <f t="shared" si="2"/>
        <v>0</v>
      </c>
      <c r="J15" s="52"/>
      <c r="K15" s="52">
        <v>0</v>
      </c>
      <c r="L15" s="53"/>
      <c r="M15" s="54">
        <f t="shared" si="3"/>
        <v>656.75</v>
      </c>
      <c r="N15" s="55">
        <f t="shared" si="4"/>
        <v>811.17499999999995</v>
      </c>
      <c r="O15" s="33" t="s">
        <v>54</v>
      </c>
      <c r="P15" s="60" t="s">
        <v>80</v>
      </c>
      <c r="Q15" s="60" t="s">
        <v>81</v>
      </c>
      <c r="R15" s="141" t="s">
        <v>59</v>
      </c>
      <c r="S15" s="62">
        <v>329111</v>
      </c>
      <c r="T15" s="60" t="s">
        <v>56</v>
      </c>
    </row>
    <row r="16" spans="1:20" x14ac:dyDescent="0.2">
      <c r="A16" s="45">
        <v>12</v>
      </c>
      <c r="B16" s="66" t="s">
        <v>83</v>
      </c>
      <c r="C16" s="46" t="s">
        <v>84</v>
      </c>
      <c r="D16" s="67" t="s">
        <v>85</v>
      </c>
      <c r="E16" s="68">
        <v>1535</v>
      </c>
      <c r="F16" s="52">
        <v>1535</v>
      </c>
      <c r="G16" s="50">
        <f t="shared" si="0"/>
        <v>115.125</v>
      </c>
      <c r="H16" s="50">
        <f t="shared" si="1"/>
        <v>218.73749999999998</v>
      </c>
      <c r="I16" s="51">
        <f t="shared" si="2"/>
        <v>57.666666666666664</v>
      </c>
      <c r="J16" s="52"/>
      <c r="K16" s="52">
        <v>0</v>
      </c>
      <c r="L16" s="53"/>
      <c r="M16" s="54">
        <f t="shared" si="3"/>
        <v>1362.2083333333333</v>
      </c>
      <c r="N16" s="55">
        <f t="shared" si="4"/>
        <v>1753.7375</v>
      </c>
      <c r="O16" s="33" t="s">
        <v>54</v>
      </c>
      <c r="P16" s="60" t="s">
        <v>83</v>
      </c>
      <c r="Q16" s="60" t="s">
        <v>84</v>
      </c>
      <c r="R16" s="141" t="s">
        <v>55</v>
      </c>
      <c r="S16" s="62">
        <v>323111</v>
      </c>
      <c r="T16" s="60" t="s">
        <v>56</v>
      </c>
    </row>
    <row r="17" spans="1:20" x14ac:dyDescent="0.2">
      <c r="A17" s="45">
        <v>13</v>
      </c>
      <c r="B17" s="66" t="s">
        <v>86</v>
      </c>
      <c r="C17" s="46" t="s">
        <v>87</v>
      </c>
      <c r="D17" s="67" t="s">
        <v>65</v>
      </c>
      <c r="E17" s="69">
        <v>1235</v>
      </c>
      <c r="F17" s="49">
        <v>1235</v>
      </c>
      <c r="G17" s="50">
        <f t="shared" si="0"/>
        <v>92.625</v>
      </c>
      <c r="H17" s="50">
        <f t="shared" si="1"/>
        <v>175.98749999999998</v>
      </c>
      <c r="I17" s="51">
        <f t="shared" si="2"/>
        <v>27.666666666666668</v>
      </c>
      <c r="J17" s="52"/>
      <c r="K17" s="52">
        <v>0</v>
      </c>
      <c r="L17" s="53"/>
      <c r="M17" s="54">
        <f t="shared" si="3"/>
        <v>1114.7083333333333</v>
      </c>
      <c r="N17" s="55">
        <f t="shared" si="4"/>
        <v>1410.9875</v>
      </c>
      <c r="O17" s="33" t="s">
        <v>54</v>
      </c>
      <c r="P17" s="60" t="s">
        <v>86</v>
      </c>
      <c r="Q17" s="60" t="s">
        <v>87</v>
      </c>
      <c r="R17" s="141" t="s">
        <v>55</v>
      </c>
      <c r="S17" s="62">
        <v>323111</v>
      </c>
      <c r="T17" s="60" t="s">
        <v>56</v>
      </c>
    </row>
    <row r="18" spans="1:20" ht="15" thickBot="1" x14ac:dyDescent="0.25">
      <c r="A18" s="45">
        <v>14</v>
      </c>
      <c r="B18" s="66" t="s">
        <v>88</v>
      </c>
      <c r="C18" s="46" t="s">
        <v>89</v>
      </c>
      <c r="D18" s="67" t="s">
        <v>82</v>
      </c>
      <c r="E18" s="69">
        <v>1000</v>
      </c>
      <c r="F18" s="49">
        <v>1000</v>
      </c>
      <c r="G18" s="50">
        <f t="shared" si="0"/>
        <v>75</v>
      </c>
      <c r="H18" s="50">
        <f t="shared" si="1"/>
        <v>142.5</v>
      </c>
      <c r="I18" s="51">
        <f t="shared" si="2"/>
        <v>12.5</v>
      </c>
      <c r="J18" s="52"/>
      <c r="K18" s="52">
        <v>0</v>
      </c>
      <c r="L18" s="53"/>
      <c r="M18" s="54">
        <f t="shared" si="3"/>
        <v>912.5</v>
      </c>
      <c r="N18" s="55">
        <f t="shared" si="4"/>
        <v>1142.5</v>
      </c>
      <c r="O18" s="33" t="s">
        <v>54</v>
      </c>
      <c r="P18" s="60" t="s">
        <v>88</v>
      </c>
      <c r="Q18" s="60" t="s">
        <v>89</v>
      </c>
      <c r="R18" s="141" t="s">
        <v>55</v>
      </c>
      <c r="S18" s="62">
        <v>329111</v>
      </c>
      <c r="T18" s="60" t="s">
        <v>56</v>
      </c>
    </row>
    <row r="19" spans="1:20" x14ac:dyDescent="0.2">
      <c r="A19" s="63">
        <v>15</v>
      </c>
      <c r="B19" s="45" t="s">
        <v>90</v>
      </c>
      <c r="C19" s="46" t="s">
        <v>91</v>
      </c>
      <c r="D19" s="70" t="s">
        <v>53</v>
      </c>
      <c r="E19" s="69">
        <v>1470</v>
      </c>
      <c r="F19" s="49">
        <v>1470</v>
      </c>
      <c r="G19" s="50">
        <f t="shared" si="0"/>
        <v>110.25</v>
      </c>
      <c r="H19" s="50">
        <f t="shared" si="1"/>
        <v>209.47499999999999</v>
      </c>
      <c r="I19" s="51">
        <f t="shared" si="2"/>
        <v>51.166666666666664</v>
      </c>
      <c r="J19" s="52"/>
      <c r="K19" s="52">
        <v>0</v>
      </c>
      <c r="L19" s="53"/>
      <c r="M19" s="54">
        <f t="shared" si="3"/>
        <v>1308.5833333333333</v>
      </c>
      <c r="N19" s="55">
        <f t="shared" si="4"/>
        <v>1679.4749999999999</v>
      </c>
      <c r="O19" s="33" t="s">
        <v>54</v>
      </c>
      <c r="P19" s="60" t="s">
        <v>90</v>
      </c>
      <c r="Q19" s="60" t="s">
        <v>91</v>
      </c>
      <c r="R19" s="141" t="s">
        <v>55</v>
      </c>
      <c r="S19" s="62">
        <v>329111</v>
      </c>
      <c r="T19" s="60" t="s">
        <v>56</v>
      </c>
    </row>
    <row r="20" spans="1:20" x14ac:dyDescent="0.2">
      <c r="A20" s="45">
        <v>16</v>
      </c>
      <c r="B20" s="45" t="s">
        <v>92</v>
      </c>
      <c r="C20" s="46" t="s">
        <v>93</v>
      </c>
      <c r="D20" s="70" t="s">
        <v>94</v>
      </c>
      <c r="E20" s="69">
        <v>2840</v>
      </c>
      <c r="F20" s="49">
        <v>2840</v>
      </c>
      <c r="G20" s="50">
        <f t="shared" si="0"/>
        <v>213</v>
      </c>
      <c r="H20" s="50">
        <f t="shared" si="1"/>
        <v>404.7</v>
      </c>
      <c r="I20" s="51">
        <f t="shared" si="2"/>
        <v>143</v>
      </c>
      <c r="J20" s="52"/>
      <c r="K20" s="52">
        <v>0</v>
      </c>
      <c r="L20" s="53"/>
      <c r="M20" s="54">
        <f t="shared" si="3"/>
        <v>2484</v>
      </c>
      <c r="N20" s="55">
        <f t="shared" si="4"/>
        <v>3244.7</v>
      </c>
      <c r="O20" s="33" t="s">
        <v>69</v>
      </c>
      <c r="P20" s="60" t="s">
        <v>92</v>
      </c>
      <c r="Q20" s="60" t="s">
        <v>93</v>
      </c>
      <c r="R20" s="141" t="s">
        <v>55</v>
      </c>
      <c r="S20" s="62">
        <v>329111</v>
      </c>
      <c r="T20" s="60" t="s">
        <v>56</v>
      </c>
    </row>
    <row r="21" spans="1:20" x14ac:dyDescent="0.2">
      <c r="A21" s="45">
        <v>17</v>
      </c>
      <c r="B21" s="45" t="s">
        <v>95</v>
      </c>
      <c r="C21" s="46" t="s">
        <v>96</v>
      </c>
      <c r="D21" s="70" t="s">
        <v>97</v>
      </c>
      <c r="E21" s="68">
        <v>925</v>
      </c>
      <c r="F21" s="52">
        <v>925</v>
      </c>
      <c r="G21" s="50">
        <f t="shared" si="0"/>
        <v>69.375</v>
      </c>
      <c r="H21" s="50">
        <f t="shared" si="1"/>
        <v>131.8125</v>
      </c>
      <c r="I21" s="51">
        <f t="shared" si="2"/>
        <v>8.75</v>
      </c>
      <c r="J21" s="52"/>
      <c r="K21" s="52">
        <v>0</v>
      </c>
      <c r="L21" s="53"/>
      <c r="M21" s="54">
        <f t="shared" si="3"/>
        <v>846.875</v>
      </c>
      <c r="N21" s="55">
        <f t="shared" si="4"/>
        <v>1056.8125</v>
      </c>
      <c r="O21" s="33" t="s">
        <v>54</v>
      </c>
      <c r="P21" s="60" t="s">
        <v>95</v>
      </c>
      <c r="Q21" s="60" t="s">
        <v>96</v>
      </c>
      <c r="R21" s="141" t="s">
        <v>59</v>
      </c>
      <c r="S21" s="62">
        <v>323111</v>
      </c>
      <c r="T21" s="60" t="s">
        <v>56</v>
      </c>
    </row>
    <row r="22" spans="1:20" x14ac:dyDescent="0.2">
      <c r="A22" s="45">
        <v>18</v>
      </c>
      <c r="B22" s="45" t="s">
        <v>98</v>
      </c>
      <c r="C22" s="46" t="s">
        <v>99</v>
      </c>
      <c r="D22" s="70" t="s">
        <v>100</v>
      </c>
      <c r="E22" s="68">
        <v>1675</v>
      </c>
      <c r="F22" s="52">
        <v>1675</v>
      </c>
      <c r="G22" s="50">
        <f t="shared" si="0"/>
        <v>125.625</v>
      </c>
      <c r="H22" s="50">
        <f t="shared" si="1"/>
        <v>238.68749999999997</v>
      </c>
      <c r="I22" s="51">
        <f t="shared" si="2"/>
        <v>8.75</v>
      </c>
      <c r="J22" s="52"/>
      <c r="K22" s="52">
        <v>0</v>
      </c>
      <c r="L22" s="53"/>
      <c r="M22" s="54">
        <f t="shared" si="3"/>
        <v>1540.625</v>
      </c>
      <c r="N22" s="55">
        <f t="shared" si="4"/>
        <v>1913.6875</v>
      </c>
      <c r="O22" s="33" t="s">
        <v>69</v>
      </c>
      <c r="P22" s="60" t="s">
        <v>98</v>
      </c>
      <c r="Q22" s="60" t="s">
        <v>99</v>
      </c>
      <c r="R22" s="141" t="s">
        <v>101</v>
      </c>
      <c r="S22" s="62">
        <v>349311</v>
      </c>
      <c r="T22" s="60" t="s">
        <v>102</v>
      </c>
    </row>
    <row r="23" spans="1:20" ht="15" thickBot="1" x14ac:dyDescent="0.25">
      <c r="A23" s="45">
        <v>19</v>
      </c>
      <c r="B23" s="45" t="s">
        <v>103</v>
      </c>
      <c r="C23" s="46" t="s">
        <v>104</v>
      </c>
      <c r="D23" s="70" t="s">
        <v>82</v>
      </c>
      <c r="E23" s="68">
        <v>1012</v>
      </c>
      <c r="F23" s="52">
        <v>1012</v>
      </c>
      <c r="G23" s="50">
        <f t="shared" si="0"/>
        <v>75.899999999999991</v>
      </c>
      <c r="H23" s="50">
        <f t="shared" si="1"/>
        <v>144.20999999999998</v>
      </c>
      <c r="I23" s="51">
        <f t="shared" si="2"/>
        <v>13.100000000000001</v>
      </c>
      <c r="J23" s="52"/>
      <c r="K23" s="52">
        <v>0</v>
      </c>
      <c r="L23" s="53"/>
      <c r="M23" s="54">
        <f t="shared" si="3"/>
        <v>923</v>
      </c>
      <c r="N23" s="55">
        <f t="shared" si="4"/>
        <v>1156.21</v>
      </c>
      <c r="O23" s="33" t="s">
        <v>54</v>
      </c>
      <c r="P23" s="60" t="s">
        <v>103</v>
      </c>
      <c r="Q23" s="60" t="s">
        <v>104</v>
      </c>
      <c r="R23" s="141" t="s">
        <v>59</v>
      </c>
      <c r="S23" s="62">
        <v>329111</v>
      </c>
      <c r="T23" s="60" t="s">
        <v>56</v>
      </c>
    </row>
    <row r="24" spans="1:20" x14ac:dyDescent="0.2">
      <c r="A24" s="63">
        <v>20</v>
      </c>
      <c r="B24" s="45" t="s">
        <v>105</v>
      </c>
      <c r="C24" s="46" t="s">
        <v>106</v>
      </c>
      <c r="D24" s="70" t="s">
        <v>82</v>
      </c>
      <c r="E24" s="68">
        <v>1193</v>
      </c>
      <c r="F24" s="52">
        <v>1193</v>
      </c>
      <c r="G24" s="50">
        <f t="shared" si="0"/>
        <v>89.474999999999994</v>
      </c>
      <c r="H24" s="50">
        <f t="shared" si="1"/>
        <v>170.0025</v>
      </c>
      <c r="I24" s="51">
        <f t="shared" si="2"/>
        <v>23.466666666666669</v>
      </c>
      <c r="J24" s="52"/>
      <c r="K24" s="52">
        <v>0</v>
      </c>
      <c r="L24" s="53"/>
      <c r="M24" s="54">
        <f t="shared" si="3"/>
        <v>1080.0583333333334</v>
      </c>
      <c r="N24" s="55">
        <f t="shared" si="4"/>
        <v>1363.0025000000001</v>
      </c>
      <c r="O24" s="33" t="s">
        <v>54</v>
      </c>
      <c r="P24" s="60" t="s">
        <v>105</v>
      </c>
      <c r="Q24" s="60" t="s">
        <v>106</v>
      </c>
      <c r="R24" s="141" t="s">
        <v>59</v>
      </c>
      <c r="S24" s="62">
        <v>329111</v>
      </c>
      <c r="T24" s="60" t="s">
        <v>56</v>
      </c>
    </row>
    <row r="25" spans="1:20" x14ac:dyDescent="0.2">
      <c r="A25" s="45">
        <v>21</v>
      </c>
      <c r="B25" s="71" t="s">
        <v>107</v>
      </c>
      <c r="C25" s="46" t="s">
        <v>108</v>
      </c>
      <c r="D25" s="70" t="s">
        <v>109</v>
      </c>
      <c r="E25" s="68">
        <v>2500</v>
      </c>
      <c r="F25" s="52">
        <v>2500</v>
      </c>
      <c r="G25" s="50">
        <f t="shared" si="0"/>
        <v>187.5</v>
      </c>
      <c r="H25" s="50">
        <f t="shared" si="1"/>
        <v>356.24999999999994</v>
      </c>
      <c r="I25" s="145">
        <v>0</v>
      </c>
      <c r="J25" s="52"/>
      <c r="K25" s="52">
        <v>0</v>
      </c>
      <c r="L25" s="53"/>
      <c r="M25" s="54">
        <f t="shared" si="3"/>
        <v>2312.5</v>
      </c>
      <c r="N25" s="55">
        <f t="shared" si="4"/>
        <v>2856.25</v>
      </c>
      <c r="O25" s="33" t="s">
        <v>69</v>
      </c>
      <c r="P25" s="60" t="s">
        <v>107</v>
      </c>
      <c r="Q25" s="60" t="s">
        <v>108</v>
      </c>
      <c r="R25" s="141" t="s">
        <v>59</v>
      </c>
      <c r="S25" s="62">
        <v>122111</v>
      </c>
      <c r="T25" s="60" t="s">
        <v>110</v>
      </c>
    </row>
    <row r="26" spans="1:20" x14ac:dyDescent="0.2">
      <c r="A26" s="45">
        <v>22</v>
      </c>
      <c r="B26" s="45" t="s">
        <v>111</v>
      </c>
      <c r="C26" s="46" t="s">
        <v>112</v>
      </c>
      <c r="D26" s="70" t="s">
        <v>82</v>
      </c>
      <c r="E26" s="68">
        <v>1012</v>
      </c>
      <c r="F26" s="52">
        <v>1012</v>
      </c>
      <c r="G26" s="50">
        <f t="shared" si="0"/>
        <v>75.899999999999991</v>
      </c>
      <c r="H26" s="50">
        <f t="shared" si="1"/>
        <v>144.20999999999998</v>
      </c>
      <c r="I26" s="51">
        <f t="shared" si="2"/>
        <v>13.100000000000001</v>
      </c>
      <c r="J26" s="52"/>
      <c r="K26" s="52">
        <v>0</v>
      </c>
      <c r="L26" s="53"/>
      <c r="M26" s="54">
        <f t="shared" si="3"/>
        <v>923</v>
      </c>
      <c r="N26" s="55">
        <f t="shared" si="4"/>
        <v>1156.21</v>
      </c>
      <c r="O26" s="33" t="s">
        <v>54</v>
      </c>
      <c r="P26" s="60" t="s">
        <v>111</v>
      </c>
      <c r="Q26" s="60" t="s">
        <v>112</v>
      </c>
      <c r="R26" s="141" t="s">
        <v>59</v>
      </c>
      <c r="S26" s="62">
        <v>329111</v>
      </c>
      <c r="T26" s="60" t="s">
        <v>56</v>
      </c>
    </row>
    <row r="27" spans="1:20" x14ac:dyDescent="0.2">
      <c r="A27" s="45">
        <v>23</v>
      </c>
      <c r="B27" s="45" t="s">
        <v>113</v>
      </c>
      <c r="C27" s="46" t="s">
        <v>114</v>
      </c>
      <c r="D27" s="70" t="s">
        <v>82</v>
      </c>
      <c r="E27" s="68">
        <v>976</v>
      </c>
      <c r="F27" s="52">
        <v>976</v>
      </c>
      <c r="G27" s="50">
        <f t="shared" si="0"/>
        <v>73.2</v>
      </c>
      <c r="H27" s="50">
        <f t="shared" si="1"/>
        <v>139.07999999999998</v>
      </c>
      <c r="I27" s="51">
        <f t="shared" si="2"/>
        <v>11.299999999999999</v>
      </c>
      <c r="J27" s="52"/>
      <c r="K27" s="52">
        <v>0</v>
      </c>
      <c r="L27" s="53"/>
      <c r="M27" s="54">
        <f t="shared" si="3"/>
        <v>891.5</v>
      </c>
      <c r="N27" s="55">
        <f t="shared" si="4"/>
        <v>1115.08</v>
      </c>
      <c r="O27" s="33" t="s">
        <v>54</v>
      </c>
      <c r="P27" s="60" t="s">
        <v>113</v>
      </c>
      <c r="Q27" s="60" t="s">
        <v>114</v>
      </c>
      <c r="R27" s="141" t="s">
        <v>59</v>
      </c>
      <c r="S27" s="62">
        <v>329111</v>
      </c>
      <c r="T27" s="60" t="s">
        <v>56</v>
      </c>
    </row>
    <row r="28" spans="1:20" ht="15" thickBot="1" x14ac:dyDescent="0.25">
      <c r="A28" s="45">
        <v>24</v>
      </c>
      <c r="B28" s="45" t="s">
        <v>115</v>
      </c>
      <c r="C28" s="46" t="s">
        <v>116</v>
      </c>
      <c r="D28" s="70" t="s">
        <v>82</v>
      </c>
      <c r="E28" s="68">
        <v>1012</v>
      </c>
      <c r="F28" s="52">
        <v>1012</v>
      </c>
      <c r="G28" s="50">
        <f t="shared" si="0"/>
        <v>75.899999999999991</v>
      </c>
      <c r="H28" s="50">
        <f t="shared" si="1"/>
        <v>144.20999999999998</v>
      </c>
      <c r="I28" s="51">
        <f t="shared" si="2"/>
        <v>13.100000000000001</v>
      </c>
      <c r="J28" s="52"/>
      <c r="K28" s="52">
        <v>0</v>
      </c>
      <c r="L28" s="53"/>
      <c r="M28" s="54">
        <f t="shared" si="3"/>
        <v>923</v>
      </c>
      <c r="N28" s="55">
        <f t="shared" si="4"/>
        <v>1156.21</v>
      </c>
      <c r="O28" s="33" t="s">
        <v>54</v>
      </c>
      <c r="P28" s="60" t="s">
        <v>115</v>
      </c>
      <c r="Q28" s="60" t="s">
        <v>116</v>
      </c>
      <c r="R28" s="141" t="s">
        <v>59</v>
      </c>
      <c r="S28" s="62">
        <v>329111</v>
      </c>
      <c r="T28" s="60" t="s">
        <v>56</v>
      </c>
    </row>
    <row r="29" spans="1:20" x14ac:dyDescent="0.2">
      <c r="A29" s="63">
        <v>25</v>
      </c>
      <c r="B29" s="71" t="s">
        <v>117</v>
      </c>
      <c r="C29" s="46" t="s">
        <v>118</v>
      </c>
      <c r="D29" s="70" t="s">
        <v>97</v>
      </c>
      <c r="E29" s="68">
        <v>1000</v>
      </c>
      <c r="F29" s="52">
        <v>1000</v>
      </c>
      <c r="G29" s="50">
        <f t="shared" si="0"/>
        <v>75</v>
      </c>
      <c r="H29" s="50">
        <f t="shared" si="1"/>
        <v>142.5</v>
      </c>
      <c r="I29" s="51">
        <f t="shared" si="2"/>
        <v>12.5</v>
      </c>
      <c r="J29" s="52"/>
      <c r="K29" s="52">
        <v>0</v>
      </c>
      <c r="L29" s="53"/>
      <c r="M29" s="54">
        <f t="shared" si="3"/>
        <v>912.5</v>
      </c>
      <c r="N29" s="55">
        <f t="shared" si="4"/>
        <v>1142.5</v>
      </c>
      <c r="O29" s="33" t="s">
        <v>54</v>
      </c>
      <c r="P29" s="60" t="s">
        <v>117</v>
      </c>
      <c r="Q29" s="60" t="s">
        <v>118</v>
      </c>
      <c r="R29" s="141" t="s">
        <v>59</v>
      </c>
      <c r="S29" s="62">
        <v>323111</v>
      </c>
      <c r="T29" s="60" t="s">
        <v>56</v>
      </c>
    </row>
    <row r="30" spans="1:20" x14ac:dyDescent="0.2">
      <c r="A30" s="45">
        <v>26</v>
      </c>
      <c r="B30" s="71" t="s">
        <v>119</v>
      </c>
      <c r="C30" s="46" t="s">
        <v>120</v>
      </c>
      <c r="D30" s="70" t="s">
        <v>85</v>
      </c>
      <c r="E30" s="68">
        <v>1705</v>
      </c>
      <c r="F30" s="52">
        <v>1705</v>
      </c>
      <c r="G30" s="50">
        <f t="shared" si="0"/>
        <v>127.875</v>
      </c>
      <c r="H30" s="50">
        <f t="shared" si="1"/>
        <v>242.96249999999998</v>
      </c>
      <c r="I30" s="51">
        <f t="shared" si="2"/>
        <v>80.75</v>
      </c>
      <c r="J30" s="52"/>
      <c r="K30" s="52">
        <v>0</v>
      </c>
      <c r="L30" s="53"/>
      <c r="M30" s="54">
        <f t="shared" si="3"/>
        <v>1496.375</v>
      </c>
      <c r="N30" s="55">
        <f t="shared" si="4"/>
        <v>1947.9625000000001</v>
      </c>
      <c r="O30" s="33" t="s">
        <v>54</v>
      </c>
      <c r="P30" s="60" t="s">
        <v>119</v>
      </c>
      <c r="Q30" s="60" t="s">
        <v>120</v>
      </c>
      <c r="R30" s="141" t="s">
        <v>59</v>
      </c>
      <c r="S30" s="62">
        <v>323111</v>
      </c>
      <c r="T30" s="60" t="s">
        <v>56</v>
      </c>
    </row>
    <row r="31" spans="1:20" x14ac:dyDescent="0.2">
      <c r="A31" s="45">
        <v>27</v>
      </c>
      <c r="B31" s="71" t="s">
        <v>121</v>
      </c>
      <c r="C31" s="46" t="s">
        <v>122</v>
      </c>
      <c r="D31" s="70" t="s">
        <v>123</v>
      </c>
      <c r="E31" s="68">
        <v>1633</v>
      </c>
      <c r="F31" s="52">
        <v>1633</v>
      </c>
      <c r="G31" s="50">
        <f t="shared" si="0"/>
        <v>122.47499999999999</v>
      </c>
      <c r="H31" s="50">
        <f t="shared" si="1"/>
        <v>232.70249999999999</v>
      </c>
      <c r="I31" s="51">
        <f t="shared" si="2"/>
        <v>69.95</v>
      </c>
      <c r="J31" s="52"/>
      <c r="K31" s="52">
        <v>0</v>
      </c>
      <c r="L31" s="53"/>
      <c r="M31" s="54">
        <f t="shared" si="3"/>
        <v>1440.575</v>
      </c>
      <c r="N31" s="55">
        <f t="shared" si="4"/>
        <v>1865.7024999999999</v>
      </c>
      <c r="O31" s="33" t="s">
        <v>54</v>
      </c>
      <c r="P31" s="60" t="s">
        <v>121</v>
      </c>
      <c r="Q31" s="60" t="s">
        <v>122</v>
      </c>
      <c r="R31" s="141" t="s">
        <v>59</v>
      </c>
      <c r="S31" s="62">
        <v>323111</v>
      </c>
      <c r="T31" s="60" t="s">
        <v>56</v>
      </c>
    </row>
    <row r="32" spans="1:20" x14ac:dyDescent="0.2">
      <c r="A32" s="45">
        <v>28</v>
      </c>
      <c r="B32" s="71" t="s">
        <v>124</v>
      </c>
      <c r="C32" s="46" t="s">
        <v>125</v>
      </c>
      <c r="D32" s="70" t="s">
        <v>77</v>
      </c>
      <c r="E32" s="68">
        <v>1450</v>
      </c>
      <c r="F32" s="52">
        <v>1450</v>
      </c>
      <c r="G32" s="50">
        <f t="shared" si="0"/>
        <v>108.75</v>
      </c>
      <c r="H32" s="50">
        <f t="shared" si="1"/>
        <v>206.62499999999997</v>
      </c>
      <c r="I32" s="51">
        <f t="shared" si="2"/>
        <v>49.166666666666664</v>
      </c>
      <c r="J32" s="52"/>
      <c r="K32" s="52">
        <v>0</v>
      </c>
      <c r="L32" s="53"/>
      <c r="M32" s="54">
        <f t="shared" si="3"/>
        <v>1292.0833333333333</v>
      </c>
      <c r="N32" s="55">
        <f t="shared" si="4"/>
        <v>1656.625</v>
      </c>
      <c r="O32" s="33" t="s">
        <v>54</v>
      </c>
      <c r="P32" s="60" t="s">
        <v>124</v>
      </c>
      <c r="Q32" s="60" t="s">
        <v>125</v>
      </c>
      <c r="R32" s="141" t="s">
        <v>59</v>
      </c>
      <c r="S32" s="62">
        <v>323111</v>
      </c>
      <c r="T32" s="60" t="s">
        <v>56</v>
      </c>
    </row>
    <row r="33" spans="1:20" ht="15" thickBot="1" x14ac:dyDescent="0.25">
      <c r="A33" s="45">
        <v>29</v>
      </c>
      <c r="B33" s="71" t="s">
        <v>126</v>
      </c>
      <c r="C33" s="46" t="s">
        <v>127</v>
      </c>
      <c r="D33" s="70" t="s">
        <v>128</v>
      </c>
      <c r="E33" s="68">
        <v>615</v>
      </c>
      <c r="F33" s="52">
        <v>615</v>
      </c>
      <c r="G33" s="50">
        <f t="shared" si="0"/>
        <v>46.125</v>
      </c>
      <c r="H33" s="50">
        <f t="shared" si="1"/>
        <v>87.637499999999989</v>
      </c>
      <c r="I33" s="51">
        <f t="shared" si="2"/>
        <v>0</v>
      </c>
      <c r="J33" s="52"/>
      <c r="K33" s="52">
        <v>0</v>
      </c>
      <c r="L33" s="53"/>
      <c r="M33" s="54">
        <f t="shared" si="3"/>
        <v>568.875</v>
      </c>
      <c r="N33" s="55">
        <f t="shared" si="4"/>
        <v>702.63750000000005</v>
      </c>
      <c r="O33" s="33" t="s">
        <v>54</v>
      </c>
      <c r="P33" s="60" t="s">
        <v>126</v>
      </c>
      <c r="Q33" s="60" t="s">
        <v>127</v>
      </c>
      <c r="R33" s="141" t="s">
        <v>59</v>
      </c>
      <c r="S33" s="62">
        <v>325311</v>
      </c>
      <c r="T33" s="72" t="s">
        <v>56</v>
      </c>
    </row>
    <row r="34" spans="1:20" x14ac:dyDescent="0.2">
      <c r="A34" s="63">
        <v>30</v>
      </c>
      <c r="B34" s="71" t="s">
        <v>129</v>
      </c>
      <c r="C34" s="46" t="s">
        <v>130</v>
      </c>
      <c r="D34" s="70" t="s">
        <v>85</v>
      </c>
      <c r="E34" s="68">
        <v>1193</v>
      </c>
      <c r="F34" s="52">
        <v>1193</v>
      </c>
      <c r="G34" s="50">
        <f t="shared" si="0"/>
        <v>89.474999999999994</v>
      </c>
      <c r="H34" s="50">
        <f t="shared" si="1"/>
        <v>170.0025</v>
      </c>
      <c r="I34" s="51">
        <f t="shared" si="2"/>
        <v>23.466666666666669</v>
      </c>
      <c r="J34" s="52"/>
      <c r="K34" s="52">
        <v>0</v>
      </c>
      <c r="L34" s="53"/>
      <c r="M34" s="54">
        <f t="shared" si="3"/>
        <v>1080.0583333333334</v>
      </c>
      <c r="N34" s="55">
        <f t="shared" si="4"/>
        <v>1363.0025000000001</v>
      </c>
      <c r="O34" s="33" t="s">
        <v>54</v>
      </c>
      <c r="P34" s="60" t="s">
        <v>129</v>
      </c>
      <c r="Q34" s="60" t="s">
        <v>130</v>
      </c>
      <c r="R34" s="141" t="s">
        <v>59</v>
      </c>
      <c r="S34" s="62">
        <v>323111</v>
      </c>
      <c r="T34" s="60" t="s">
        <v>56</v>
      </c>
    </row>
    <row r="35" spans="1:20" x14ac:dyDescent="0.2">
      <c r="A35" s="45">
        <v>31</v>
      </c>
      <c r="B35" s="71" t="s">
        <v>131</v>
      </c>
      <c r="C35" s="46" t="s">
        <v>132</v>
      </c>
      <c r="D35" s="70" t="s">
        <v>133</v>
      </c>
      <c r="E35" s="68">
        <v>2272</v>
      </c>
      <c r="F35" s="52">
        <v>2272</v>
      </c>
      <c r="G35" s="50">
        <f t="shared" si="0"/>
        <v>170.4</v>
      </c>
      <c r="H35" s="50">
        <f t="shared" si="1"/>
        <v>323.76</v>
      </c>
      <c r="I35" s="51">
        <f t="shared" si="2"/>
        <v>179.4</v>
      </c>
      <c r="J35" s="52"/>
      <c r="K35" s="52">
        <v>0</v>
      </c>
      <c r="L35" s="53"/>
      <c r="M35" s="54">
        <f t="shared" si="3"/>
        <v>1922.2</v>
      </c>
      <c r="N35" s="55">
        <f t="shared" si="4"/>
        <v>2595.7600000000002</v>
      </c>
      <c r="O35" s="33" t="s">
        <v>54</v>
      </c>
      <c r="P35" s="60" t="s">
        <v>131</v>
      </c>
      <c r="Q35" s="60" t="s">
        <v>132</v>
      </c>
      <c r="R35" s="141" t="s">
        <v>59</v>
      </c>
      <c r="S35" s="62">
        <v>323111</v>
      </c>
      <c r="T35" s="60" t="s">
        <v>56</v>
      </c>
    </row>
    <row r="36" spans="1:20" x14ac:dyDescent="0.2">
      <c r="A36" s="45">
        <v>32</v>
      </c>
      <c r="B36" s="71" t="s">
        <v>134</v>
      </c>
      <c r="C36" s="46" t="s">
        <v>135</v>
      </c>
      <c r="D36" s="70" t="s">
        <v>136</v>
      </c>
      <c r="E36" s="68">
        <v>815</v>
      </c>
      <c r="F36" s="52">
        <v>815</v>
      </c>
      <c r="G36" s="50">
        <f t="shared" si="0"/>
        <v>61.125</v>
      </c>
      <c r="H36" s="50">
        <f t="shared" si="1"/>
        <v>116.13749999999999</v>
      </c>
      <c r="I36" s="51">
        <f t="shared" si="2"/>
        <v>3.25</v>
      </c>
      <c r="J36" s="52"/>
      <c r="K36" s="52">
        <v>0</v>
      </c>
      <c r="L36" s="53"/>
      <c r="M36" s="54">
        <f t="shared" si="3"/>
        <v>750.625</v>
      </c>
      <c r="N36" s="55">
        <f t="shared" si="4"/>
        <v>931.13750000000005</v>
      </c>
      <c r="O36" s="33" t="s">
        <v>54</v>
      </c>
      <c r="P36" s="60" t="s">
        <v>134</v>
      </c>
      <c r="Q36" s="60" t="s">
        <v>135</v>
      </c>
      <c r="R36" s="141" t="s">
        <v>137</v>
      </c>
      <c r="S36" s="62">
        <v>311311</v>
      </c>
      <c r="T36" s="60" t="s">
        <v>138</v>
      </c>
    </row>
    <row r="37" spans="1:20" x14ac:dyDescent="0.2">
      <c r="A37" s="45">
        <v>33</v>
      </c>
      <c r="B37" s="71" t="s">
        <v>139</v>
      </c>
      <c r="C37" s="46" t="s">
        <v>140</v>
      </c>
      <c r="D37" s="70" t="s">
        <v>65</v>
      </c>
      <c r="E37" s="68">
        <v>1022</v>
      </c>
      <c r="F37" s="52">
        <v>1022</v>
      </c>
      <c r="G37" s="50">
        <f t="shared" si="0"/>
        <v>76.649999999999991</v>
      </c>
      <c r="H37" s="50">
        <f t="shared" si="1"/>
        <v>145.63499999999999</v>
      </c>
      <c r="I37" s="51">
        <f t="shared" si="2"/>
        <v>0</v>
      </c>
      <c r="J37" s="52"/>
      <c r="K37" s="52">
        <v>0</v>
      </c>
      <c r="L37" s="53"/>
      <c r="M37" s="54">
        <f t="shared" si="3"/>
        <v>945.35</v>
      </c>
      <c r="N37" s="55">
        <f t="shared" si="4"/>
        <v>1167.635</v>
      </c>
      <c r="O37" s="33" t="s">
        <v>69</v>
      </c>
      <c r="P37" s="60" t="s">
        <v>139</v>
      </c>
      <c r="Q37" s="60" t="s">
        <v>140</v>
      </c>
      <c r="R37" s="141" t="s">
        <v>59</v>
      </c>
      <c r="S37" s="62">
        <v>323111</v>
      </c>
      <c r="T37" s="60" t="s">
        <v>56</v>
      </c>
    </row>
    <row r="38" spans="1:20" ht="15" thickBot="1" x14ac:dyDescent="0.25">
      <c r="A38" s="45">
        <v>34</v>
      </c>
      <c r="B38" s="71" t="s">
        <v>141</v>
      </c>
      <c r="C38" s="46" t="s">
        <v>142</v>
      </c>
      <c r="D38" s="70" t="s">
        <v>143</v>
      </c>
      <c r="E38" s="68">
        <v>2800</v>
      </c>
      <c r="F38" s="52">
        <v>2800</v>
      </c>
      <c r="G38" s="50">
        <f t="shared" si="0"/>
        <v>210</v>
      </c>
      <c r="H38" s="50">
        <f t="shared" si="1"/>
        <v>398.99999999999994</v>
      </c>
      <c r="I38" s="51">
        <f t="shared" si="2"/>
        <v>135</v>
      </c>
      <c r="J38" s="52"/>
      <c r="K38" s="52">
        <v>0</v>
      </c>
      <c r="L38" s="53"/>
      <c r="M38" s="54">
        <f t="shared" si="3"/>
        <v>2455</v>
      </c>
      <c r="N38" s="55">
        <f t="shared" si="4"/>
        <v>3199</v>
      </c>
      <c r="O38" s="33" t="s">
        <v>69</v>
      </c>
      <c r="P38" s="60" t="s">
        <v>141</v>
      </c>
      <c r="Q38" s="60" t="s">
        <v>142</v>
      </c>
      <c r="R38" s="141" t="s">
        <v>59</v>
      </c>
      <c r="S38" s="62">
        <v>323111</v>
      </c>
      <c r="T38" s="60" t="s">
        <v>56</v>
      </c>
    </row>
    <row r="39" spans="1:20" x14ac:dyDescent="0.2">
      <c r="A39" s="63">
        <v>35</v>
      </c>
      <c r="B39" s="71" t="s">
        <v>144</v>
      </c>
      <c r="C39" s="46" t="s">
        <v>145</v>
      </c>
      <c r="D39" s="70" t="s">
        <v>65</v>
      </c>
      <c r="E39" s="68">
        <v>1065</v>
      </c>
      <c r="F39" s="52">
        <v>1065</v>
      </c>
      <c r="G39" s="50">
        <f t="shared" si="0"/>
        <v>79.875</v>
      </c>
      <c r="H39" s="50">
        <f t="shared" si="1"/>
        <v>151.76249999999999</v>
      </c>
      <c r="I39" s="51">
        <f t="shared" si="2"/>
        <v>15.75</v>
      </c>
      <c r="J39" s="52"/>
      <c r="K39" s="52">
        <v>0</v>
      </c>
      <c r="L39" s="53"/>
      <c r="M39" s="54">
        <f t="shared" si="3"/>
        <v>969.375</v>
      </c>
      <c r="N39" s="55">
        <f t="shared" si="4"/>
        <v>1216.7625</v>
      </c>
      <c r="O39" s="33" t="s">
        <v>54</v>
      </c>
      <c r="P39" s="60" t="s">
        <v>144</v>
      </c>
      <c r="Q39" s="60" t="s">
        <v>145</v>
      </c>
      <c r="R39" s="141" t="s">
        <v>59</v>
      </c>
      <c r="S39" s="62">
        <v>323111</v>
      </c>
      <c r="T39" s="60" t="s">
        <v>56</v>
      </c>
    </row>
    <row r="40" spans="1:20" x14ac:dyDescent="0.2">
      <c r="A40" s="45">
        <v>36</v>
      </c>
      <c r="B40" s="71" t="s">
        <v>146</v>
      </c>
      <c r="C40" s="46" t="s">
        <v>147</v>
      </c>
      <c r="D40" s="70" t="s">
        <v>148</v>
      </c>
      <c r="E40" s="68">
        <v>1600</v>
      </c>
      <c r="F40" s="52">
        <v>1600</v>
      </c>
      <c r="G40" s="50">
        <f t="shared" si="0"/>
        <v>120</v>
      </c>
      <c r="H40" s="50">
        <f t="shared" si="1"/>
        <v>227.99999999999997</v>
      </c>
      <c r="I40" s="51">
        <f t="shared" si="2"/>
        <v>5</v>
      </c>
      <c r="J40" s="52"/>
      <c r="K40" s="52">
        <v>0</v>
      </c>
      <c r="L40" s="53"/>
      <c r="M40" s="54">
        <f t="shared" si="3"/>
        <v>1475</v>
      </c>
      <c r="N40" s="55">
        <f t="shared" si="4"/>
        <v>1828</v>
      </c>
      <c r="O40" s="33" t="s">
        <v>69</v>
      </c>
      <c r="P40" s="60" t="s">
        <v>146</v>
      </c>
      <c r="Q40" s="60" t="s">
        <v>147</v>
      </c>
      <c r="R40" s="141" t="s">
        <v>101</v>
      </c>
      <c r="S40" s="62">
        <v>349311</v>
      </c>
      <c r="T40" s="60" t="s">
        <v>102</v>
      </c>
    </row>
    <row r="41" spans="1:20" x14ac:dyDescent="0.2">
      <c r="A41" s="45">
        <v>37</v>
      </c>
      <c r="B41" s="71" t="s">
        <v>149</v>
      </c>
      <c r="C41" s="46" t="s">
        <v>150</v>
      </c>
      <c r="D41" s="70" t="s">
        <v>143</v>
      </c>
      <c r="E41" s="68">
        <v>2740</v>
      </c>
      <c r="F41" s="52">
        <v>2740</v>
      </c>
      <c r="G41" s="50">
        <f t="shared" si="0"/>
        <v>205.5</v>
      </c>
      <c r="H41" s="50">
        <f t="shared" si="1"/>
        <v>390.45</v>
      </c>
      <c r="I41" s="51">
        <f t="shared" si="2"/>
        <v>123.5</v>
      </c>
      <c r="J41" s="52"/>
      <c r="K41" s="52">
        <v>0</v>
      </c>
      <c r="L41" s="53"/>
      <c r="M41" s="54">
        <f t="shared" si="3"/>
        <v>2411</v>
      </c>
      <c r="N41" s="55">
        <f t="shared" si="4"/>
        <v>3130.45</v>
      </c>
      <c r="O41" s="33" t="s">
        <v>69</v>
      </c>
      <c r="P41" s="60" t="s">
        <v>149</v>
      </c>
      <c r="Q41" s="60" t="s">
        <v>150</v>
      </c>
      <c r="R41" s="141" t="s">
        <v>59</v>
      </c>
      <c r="S41" s="62">
        <v>323111</v>
      </c>
      <c r="T41" s="60" t="s">
        <v>56</v>
      </c>
    </row>
    <row r="42" spans="1:20" x14ac:dyDescent="0.2">
      <c r="A42" s="45">
        <v>38</v>
      </c>
      <c r="B42" s="71" t="s">
        <v>151</v>
      </c>
      <c r="C42" s="46" t="s">
        <v>152</v>
      </c>
      <c r="D42" s="70" t="s">
        <v>143</v>
      </c>
      <c r="E42" s="68">
        <v>2270</v>
      </c>
      <c r="F42" s="52">
        <v>2270</v>
      </c>
      <c r="G42" s="50">
        <f t="shared" si="0"/>
        <v>170.25</v>
      </c>
      <c r="H42" s="50">
        <f t="shared" si="1"/>
        <v>323.47499999999997</v>
      </c>
      <c r="I42" s="51">
        <f t="shared" si="2"/>
        <v>179</v>
      </c>
      <c r="J42" s="52"/>
      <c r="K42" s="52">
        <v>0</v>
      </c>
      <c r="L42" s="53"/>
      <c r="M42" s="54">
        <f t="shared" si="3"/>
        <v>1920.75</v>
      </c>
      <c r="N42" s="55">
        <f t="shared" si="4"/>
        <v>2593.4749999999999</v>
      </c>
      <c r="O42" s="33" t="s">
        <v>54</v>
      </c>
      <c r="P42" s="60" t="s">
        <v>151</v>
      </c>
      <c r="Q42" s="60" t="s">
        <v>152</v>
      </c>
      <c r="R42" s="141" t="s">
        <v>59</v>
      </c>
      <c r="S42" s="62">
        <v>323111</v>
      </c>
      <c r="T42" s="60" t="s">
        <v>56</v>
      </c>
    </row>
    <row r="43" spans="1:20" ht="15" thickBot="1" x14ac:dyDescent="0.25">
      <c r="A43" s="45">
        <v>39</v>
      </c>
      <c r="B43" s="71" t="s">
        <v>153</v>
      </c>
      <c r="C43" s="46" t="s">
        <v>154</v>
      </c>
      <c r="D43" s="70" t="s">
        <v>97</v>
      </c>
      <c r="E43" s="68">
        <v>900</v>
      </c>
      <c r="F43" s="52">
        <v>900</v>
      </c>
      <c r="G43" s="50">
        <f t="shared" si="0"/>
        <v>67.5</v>
      </c>
      <c r="H43" s="50">
        <f t="shared" si="1"/>
        <v>128.25</v>
      </c>
      <c r="I43" s="51">
        <f t="shared" si="2"/>
        <v>7.5</v>
      </c>
      <c r="J43" s="52"/>
      <c r="K43" s="52">
        <v>0</v>
      </c>
      <c r="L43" s="53"/>
      <c r="M43" s="54">
        <f t="shared" si="3"/>
        <v>825</v>
      </c>
      <c r="N43" s="55">
        <f t="shared" si="4"/>
        <v>1028.25</v>
      </c>
      <c r="O43" s="33" t="s">
        <v>54</v>
      </c>
      <c r="P43" s="60" t="s">
        <v>153</v>
      </c>
      <c r="Q43" s="60" t="s">
        <v>154</v>
      </c>
      <c r="R43" s="141" t="s">
        <v>59</v>
      </c>
      <c r="S43" s="62">
        <v>323111</v>
      </c>
      <c r="T43" s="60" t="s">
        <v>56</v>
      </c>
    </row>
    <row r="44" spans="1:20" x14ac:dyDescent="0.2">
      <c r="A44" s="63">
        <v>40</v>
      </c>
      <c r="B44" s="71" t="s">
        <v>155</v>
      </c>
      <c r="C44" s="46" t="s">
        <v>156</v>
      </c>
      <c r="D44" s="70" t="s">
        <v>157</v>
      </c>
      <c r="E44" s="69">
        <v>1193</v>
      </c>
      <c r="F44" s="49">
        <v>1193</v>
      </c>
      <c r="G44" s="50">
        <f t="shared" si="0"/>
        <v>89.474999999999994</v>
      </c>
      <c r="H44" s="50">
        <f t="shared" si="1"/>
        <v>170.0025</v>
      </c>
      <c r="I44" s="51">
        <f>(IF((O44="No"),(IF((($F44*12)-9000)&lt;0,0,(IF((($F44*12)-9000)&gt;20000,(5000*5%+5000*10%+5000*15%+5000*20%+((($F44*12)-9000)-20000)*25%),IF((($F44*12)-9000)&gt;15000,(5000*5%+5000*10%+5000*15%+((($F44*12)-9000)-15000)*20%),IF((($F44*12)-9000)&gt;10000,(5000*5%+5000*10%+((($F44*12)-9000)-10000)*15%),IF((($F44*12)-9000)&gt;5000,(5000*5%+((($F44*12)-9000)-5000)*10%),IF((($F44*12)-9000)&lt;5000,(($F44*12)-9000)*5%)))))))),((IF((($F44*12)-18000)&lt;0,0,(IF((($F44*12)-18000)&gt;20000,(5000*5%+5000*10%+5000*15%+5000*20%+((($F44*12)-18000)-20000)*25%),IF((($F44*12)-18000)&gt;15000,(5000*5%+5000*10%+5000*15%+((($F44*12)-18000)-15000)*20%),IF((($F44*12)-18000)&gt;10000,(5000*5%+5000*10%+((($F44*12)-18000)-10000)*15%),IF((($F44*12)-18000)&gt;5000,(5000*5%+((($F44*12)-18000)-5000)*10%),IF((($F44*12)-18000)&lt;5000,(($F44*12)-18000)*5%))))))))))/12)</f>
        <v>23.466666666666669</v>
      </c>
      <c r="J44" s="52"/>
      <c r="K44" s="52">
        <v>0</v>
      </c>
      <c r="L44" s="53"/>
      <c r="M44" s="54">
        <f t="shared" si="3"/>
        <v>1080.0583333333334</v>
      </c>
      <c r="N44" s="55">
        <f t="shared" si="4"/>
        <v>1363.0025000000001</v>
      </c>
      <c r="O44" s="33" t="s">
        <v>54</v>
      </c>
      <c r="P44" s="60" t="s">
        <v>155</v>
      </c>
      <c r="Q44" s="60" t="s">
        <v>156</v>
      </c>
      <c r="R44" s="141" t="s">
        <v>55</v>
      </c>
      <c r="S44" s="62">
        <v>325311</v>
      </c>
      <c r="T44" s="72" t="s">
        <v>56</v>
      </c>
    </row>
    <row r="45" spans="1:20" x14ac:dyDescent="0.2">
      <c r="A45" s="45">
        <v>41</v>
      </c>
      <c r="B45" s="71" t="s">
        <v>158</v>
      </c>
      <c r="C45" s="46" t="s">
        <v>159</v>
      </c>
      <c r="D45" s="70" t="s">
        <v>160</v>
      </c>
      <c r="E45" s="68">
        <v>900</v>
      </c>
      <c r="F45" s="52">
        <f>900</f>
        <v>900</v>
      </c>
      <c r="G45" s="50">
        <f t="shared" si="0"/>
        <v>67.5</v>
      </c>
      <c r="H45" s="50">
        <f t="shared" si="1"/>
        <v>128.25</v>
      </c>
      <c r="I45" s="51">
        <f t="shared" si="2"/>
        <v>7.5</v>
      </c>
      <c r="J45" s="52"/>
      <c r="K45" s="52">
        <v>0</v>
      </c>
      <c r="L45" s="53"/>
      <c r="M45" s="54">
        <f t="shared" si="3"/>
        <v>825</v>
      </c>
      <c r="N45" s="55">
        <f t="shared" si="4"/>
        <v>1028.25</v>
      </c>
      <c r="O45" s="33" t="s">
        <v>54</v>
      </c>
      <c r="P45" s="60" t="s">
        <v>158</v>
      </c>
      <c r="Q45" s="60" t="s">
        <v>159</v>
      </c>
      <c r="R45" s="141" t="s">
        <v>55</v>
      </c>
      <c r="S45" s="62">
        <v>323111</v>
      </c>
      <c r="T45" s="60" t="s">
        <v>56</v>
      </c>
    </row>
    <row r="46" spans="1:20" x14ac:dyDescent="0.2">
      <c r="A46" s="45">
        <v>42</v>
      </c>
      <c r="B46" s="71" t="s">
        <v>161</v>
      </c>
      <c r="C46" s="73" t="s">
        <v>162</v>
      </c>
      <c r="D46" s="70" t="s">
        <v>163</v>
      </c>
      <c r="E46" s="68">
        <v>450</v>
      </c>
      <c r="F46" s="52">
        <v>450</v>
      </c>
      <c r="G46" s="50">
        <f t="shared" si="0"/>
        <v>33.75</v>
      </c>
      <c r="H46" s="50">
        <f t="shared" si="1"/>
        <v>64.125</v>
      </c>
      <c r="I46" s="51">
        <f t="shared" si="2"/>
        <v>0</v>
      </c>
      <c r="J46" s="52"/>
      <c r="K46" s="52"/>
      <c r="L46" s="53"/>
      <c r="M46" s="54">
        <f t="shared" si="3"/>
        <v>416.25</v>
      </c>
      <c r="N46" s="55">
        <f t="shared" si="4"/>
        <v>514.125</v>
      </c>
      <c r="O46" s="33" t="s">
        <v>69</v>
      </c>
      <c r="P46" s="60" t="s">
        <v>161</v>
      </c>
      <c r="Q46" s="60" t="s">
        <v>162</v>
      </c>
      <c r="R46" s="141" t="s">
        <v>59</v>
      </c>
      <c r="S46" s="62">
        <v>134311</v>
      </c>
      <c r="T46" s="60" t="s">
        <v>164</v>
      </c>
    </row>
    <row r="47" spans="1:20" x14ac:dyDescent="0.2">
      <c r="A47" s="45">
        <v>43</v>
      </c>
      <c r="B47" s="71" t="s">
        <v>165</v>
      </c>
      <c r="C47" s="46" t="s">
        <v>166</v>
      </c>
      <c r="D47" s="70" t="s">
        <v>167</v>
      </c>
      <c r="E47" s="68">
        <v>1700</v>
      </c>
      <c r="F47" s="52">
        <v>1700</v>
      </c>
      <c r="G47" s="50">
        <f t="shared" si="0"/>
        <v>127.5</v>
      </c>
      <c r="H47" s="50">
        <f t="shared" si="1"/>
        <v>242.24999999999997</v>
      </c>
      <c r="I47" s="51">
        <f t="shared" si="2"/>
        <v>10</v>
      </c>
      <c r="J47" s="52"/>
      <c r="K47" s="52"/>
      <c r="L47" s="53"/>
      <c r="M47" s="54">
        <f t="shared" si="3"/>
        <v>1562.5</v>
      </c>
      <c r="N47" s="55">
        <f t="shared" si="4"/>
        <v>1942.25</v>
      </c>
      <c r="O47" s="33" t="s">
        <v>69</v>
      </c>
      <c r="P47" s="60" t="s">
        <v>165</v>
      </c>
      <c r="Q47" s="60" t="s">
        <v>166</v>
      </c>
      <c r="R47" s="141" t="s">
        <v>55</v>
      </c>
      <c r="S47" s="62">
        <v>323111</v>
      </c>
      <c r="T47" s="60" t="s">
        <v>56</v>
      </c>
    </row>
    <row r="48" spans="1:20" ht="15" thickBot="1" x14ac:dyDescent="0.25">
      <c r="A48" s="45">
        <v>44</v>
      </c>
      <c r="B48" s="71" t="s">
        <v>441</v>
      </c>
      <c r="C48" s="46" t="s">
        <v>442</v>
      </c>
      <c r="D48" s="70" t="s">
        <v>443</v>
      </c>
      <c r="E48" s="68">
        <v>480</v>
      </c>
      <c r="F48" s="52">
        <v>480</v>
      </c>
      <c r="G48" s="50">
        <f t="shared" si="0"/>
        <v>36</v>
      </c>
      <c r="H48" s="50">
        <f t="shared" si="1"/>
        <v>68.399999999999991</v>
      </c>
      <c r="I48" s="51">
        <f t="shared" si="2"/>
        <v>0</v>
      </c>
      <c r="J48" s="52"/>
      <c r="K48" s="52"/>
      <c r="L48" s="53"/>
      <c r="M48" s="54">
        <f t="shared" si="3"/>
        <v>444</v>
      </c>
      <c r="N48" s="55">
        <f t="shared" si="4"/>
        <v>548.4</v>
      </c>
      <c r="O48" s="33" t="s">
        <v>54</v>
      </c>
      <c r="P48" s="60" t="s">
        <v>441</v>
      </c>
      <c r="Q48" s="60" t="s">
        <v>442</v>
      </c>
      <c r="R48" s="141" t="s">
        <v>59</v>
      </c>
      <c r="S48" s="62">
        <v>329111</v>
      </c>
      <c r="T48" s="60" t="s">
        <v>56</v>
      </c>
    </row>
    <row r="49" spans="1:22" x14ac:dyDescent="0.2">
      <c r="A49" s="63">
        <v>45</v>
      </c>
      <c r="B49" s="71" t="s">
        <v>168</v>
      </c>
      <c r="C49" s="46" t="s">
        <v>169</v>
      </c>
      <c r="D49" s="70" t="s">
        <v>170</v>
      </c>
      <c r="E49" s="74">
        <v>350</v>
      </c>
      <c r="F49" s="52">
        <v>350</v>
      </c>
      <c r="G49" s="50">
        <f t="shared" si="0"/>
        <v>26.25</v>
      </c>
      <c r="H49" s="50">
        <f t="shared" si="1"/>
        <v>49.874999999999993</v>
      </c>
      <c r="I49" s="51">
        <f t="shared" si="2"/>
        <v>0</v>
      </c>
      <c r="J49" s="52"/>
      <c r="K49" s="52"/>
      <c r="L49" s="53"/>
      <c r="M49" s="54">
        <f t="shared" si="3"/>
        <v>323.75</v>
      </c>
      <c r="N49" s="55">
        <f t="shared" si="4"/>
        <v>399.875</v>
      </c>
      <c r="O49" s="33" t="s">
        <v>54</v>
      </c>
      <c r="P49" s="60" t="s">
        <v>168</v>
      </c>
      <c r="Q49" s="60" t="s">
        <v>169</v>
      </c>
      <c r="R49" s="141" t="s">
        <v>55</v>
      </c>
      <c r="S49" s="62">
        <v>325311</v>
      </c>
      <c r="T49" s="72" t="s">
        <v>56</v>
      </c>
    </row>
    <row r="50" spans="1:22" x14ac:dyDescent="0.2">
      <c r="A50" s="45">
        <v>46</v>
      </c>
      <c r="B50" s="71" t="s">
        <v>171</v>
      </c>
      <c r="C50" s="46" t="s">
        <v>172</v>
      </c>
      <c r="D50" s="75" t="s">
        <v>53</v>
      </c>
      <c r="E50" s="74">
        <v>700</v>
      </c>
      <c r="F50" s="52">
        <v>700</v>
      </c>
      <c r="G50" s="50">
        <f t="shared" si="0"/>
        <v>52.5</v>
      </c>
      <c r="H50" s="50">
        <f t="shared" si="1"/>
        <v>99.749999999999986</v>
      </c>
      <c r="I50" s="51">
        <f t="shared" si="2"/>
        <v>0</v>
      </c>
      <c r="J50" s="52"/>
      <c r="K50" s="52"/>
      <c r="L50" s="53"/>
      <c r="M50" s="54">
        <f t="shared" si="3"/>
        <v>647.5</v>
      </c>
      <c r="N50" s="55">
        <f t="shared" si="4"/>
        <v>799.75</v>
      </c>
      <c r="O50" s="33" t="s">
        <v>54</v>
      </c>
      <c r="P50" s="60" t="s">
        <v>171</v>
      </c>
      <c r="Q50" s="60" t="s">
        <v>172</v>
      </c>
      <c r="R50" s="141" t="s">
        <v>59</v>
      </c>
      <c r="S50" s="62">
        <v>329111</v>
      </c>
      <c r="T50" s="60" t="s">
        <v>56</v>
      </c>
    </row>
    <row r="51" spans="1:22" x14ac:dyDescent="0.2">
      <c r="A51" s="45">
        <v>47</v>
      </c>
      <c r="B51" s="71" t="s">
        <v>173</v>
      </c>
      <c r="C51" s="46" t="s">
        <v>174</v>
      </c>
      <c r="D51" s="75" t="s">
        <v>175</v>
      </c>
      <c r="E51" s="74">
        <v>2300</v>
      </c>
      <c r="F51" s="52">
        <v>2300</v>
      </c>
      <c r="G51" s="50">
        <f t="shared" si="0"/>
        <v>172.5</v>
      </c>
      <c r="H51" s="50">
        <f t="shared" si="1"/>
        <v>327.75</v>
      </c>
      <c r="I51" s="51">
        <f>(IF((O51="No"),(IF((($F51*12)-9000)&lt;0,0,(IF((($F51*12)-9000)&gt;20000,(5000*5%+5000*10%+5000*15%+5000*20%+((($F51*12)-9000)-20000)*25%),IF((($F51*12)-9000)&gt;15000,(5000*5%+5000*10%+5000*15%+((($F51*12)-9000)-15000)*20%),IF((($F51*12)-9000)&gt;10000,(5000*5%+5000*10%+((($F51*12)-9000)-10000)*15%),IF((($F51*12)-9000)&gt;5000,(5000*5%+((($F51*12)-9000)-5000)*10%),IF((($F51*12)-9000)&lt;5000,(($F51*12)-9000)*5%)))))))),((IF((($F51*12)-18000)&lt;0,0,(IF((($F51*12)-18000)&gt;20000,(5000*5%+5000*10%+5000*15%+5000*20%+((($F51*12)-18000)-20000)*25%),IF((($F51*12)-18000)&gt;15000,(5000*5%+5000*10%+5000*15%+((($F51*12)-18000)-15000)*20%),IF((($F51*12)-18000)&gt;10000,(5000*5%+5000*10%+((($F51*12)-18000)-10000)*15%),IF((($F51*12)-18000)&gt;5000,(5000*5%+((($F51*12)-18000)-5000)*10%),IF((($F51*12)-18000)&lt;5000,(($F51*12)-18000)*5%))))))))))/12)</f>
        <v>185</v>
      </c>
      <c r="J51" s="52"/>
      <c r="K51" s="52"/>
      <c r="L51" s="53"/>
      <c r="M51" s="54">
        <f t="shared" si="3"/>
        <v>1942.5</v>
      </c>
      <c r="N51" s="55">
        <f t="shared" si="4"/>
        <v>2627.75</v>
      </c>
      <c r="O51" s="33" t="s">
        <v>54</v>
      </c>
      <c r="P51" s="60" t="s">
        <v>176</v>
      </c>
      <c r="Q51" s="60" t="s">
        <v>174</v>
      </c>
      <c r="R51" s="141" t="s">
        <v>59</v>
      </c>
      <c r="S51" s="62">
        <v>111111</v>
      </c>
      <c r="T51" s="60" t="s">
        <v>177</v>
      </c>
    </row>
    <row r="52" spans="1:22" x14ac:dyDescent="0.2">
      <c r="A52" s="45">
        <v>48</v>
      </c>
      <c r="B52" s="71" t="s">
        <v>178</v>
      </c>
      <c r="C52" s="46" t="s">
        <v>179</v>
      </c>
      <c r="D52" s="76" t="s">
        <v>180</v>
      </c>
      <c r="E52" s="74">
        <v>480</v>
      </c>
      <c r="F52" s="52">
        <v>480</v>
      </c>
      <c r="G52" s="50">
        <f t="shared" si="0"/>
        <v>36</v>
      </c>
      <c r="H52" s="50">
        <f t="shared" si="1"/>
        <v>68.399999999999991</v>
      </c>
      <c r="I52" s="51">
        <f t="shared" ref="I52:I108" si="5">(IF((O52="No"),(IF((($F52*12)-9000)&lt;0,0,(IF((($F52*12)-9000)&gt;20000,(5000*5%+5000*10%+5000*15%+5000*20%+((($F52*12)-9000)-20000)*25%),IF((($F52*12)-9000)&gt;15000,(5000*5%+5000*10%+5000*15%+((($F52*12)-9000)-15000)*20%),IF((($F52*12)-9000)&gt;10000,(5000*5%+5000*10%+((($F52*12)-9000)-10000)*15%),IF((($F52*12)-9000)&gt;5000,(5000*5%+((($F52*12)-9000)-5000)*10%),IF((($F52*12)-9000)&lt;5000,(($F52*12)-9000)*5%)))))))),((IF((($F52*12)-18000)&lt;0,0,(IF((($F52*12)-18000)&gt;20000,(5000*5%+5000*10%+5000*15%+5000*20%+((($F52*12)-18000)-20000)*25%),IF((($F52*12)-18000)&gt;15000,(5000*5%+5000*10%+5000*15%+((($F52*12)-18000)-15000)*20%),IF((($F52*12)-18000)&gt;10000,(5000*5%+5000*10%+((($F52*12)-18000)-10000)*15%),IF((($F52*12)-18000)&gt;5000,(5000*5%+((($F52*12)-18000)-5000)*10%),IF((($F52*12)-18000)&lt;5000,(($F52*12)-18000)*5%))))))))))/12)</f>
        <v>0</v>
      </c>
      <c r="J52" s="52"/>
      <c r="K52" s="52"/>
      <c r="L52" s="53"/>
      <c r="M52" s="54">
        <f t="shared" si="3"/>
        <v>444</v>
      </c>
      <c r="N52" s="55">
        <f t="shared" si="4"/>
        <v>548.4</v>
      </c>
      <c r="O52" s="33" t="s">
        <v>54</v>
      </c>
      <c r="P52" s="60" t="s">
        <v>178</v>
      </c>
      <c r="Q52" s="60" t="s">
        <v>179</v>
      </c>
      <c r="R52" s="141" t="s">
        <v>59</v>
      </c>
      <c r="S52" s="62">
        <v>329111</v>
      </c>
      <c r="T52" s="60" t="s">
        <v>56</v>
      </c>
    </row>
    <row r="53" spans="1:22" ht="15" thickBot="1" x14ac:dyDescent="0.25">
      <c r="A53" s="45">
        <v>49</v>
      </c>
      <c r="B53" s="71" t="s">
        <v>181</v>
      </c>
      <c r="C53" s="46" t="s">
        <v>182</v>
      </c>
      <c r="D53" s="76" t="s">
        <v>183</v>
      </c>
      <c r="E53" s="74">
        <v>2000</v>
      </c>
      <c r="F53" s="52">
        <v>2000</v>
      </c>
      <c r="G53" s="50">
        <f t="shared" si="0"/>
        <v>150</v>
      </c>
      <c r="H53" s="50">
        <f t="shared" si="1"/>
        <v>285</v>
      </c>
      <c r="I53" s="51">
        <f t="shared" si="5"/>
        <v>125</v>
      </c>
      <c r="J53" s="52"/>
      <c r="K53" s="52"/>
      <c r="L53" s="53"/>
      <c r="M53" s="54">
        <f t="shared" si="3"/>
        <v>1725</v>
      </c>
      <c r="N53" s="55">
        <f t="shared" si="4"/>
        <v>2285</v>
      </c>
      <c r="O53" s="33" t="s">
        <v>54</v>
      </c>
      <c r="P53" s="60" t="s">
        <v>181</v>
      </c>
      <c r="Q53" s="60" t="s">
        <v>182</v>
      </c>
      <c r="R53" s="141" t="s">
        <v>59</v>
      </c>
      <c r="S53" s="62">
        <v>323111</v>
      </c>
      <c r="T53" s="60" t="s">
        <v>56</v>
      </c>
    </row>
    <row r="54" spans="1:22" x14ac:dyDescent="0.2">
      <c r="A54" s="63">
        <v>50</v>
      </c>
      <c r="B54" s="71" t="s">
        <v>184</v>
      </c>
      <c r="C54" s="46" t="s">
        <v>185</v>
      </c>
      <c r="D54" s="75" t="s">
        <v>186</v>
      </c>
      <c r="E54" s="74">
        <v>816</v>
      </c>
      <c r="F54" s="52">
        <v>816</v>
      </c>
      <c r="G54" s="50">
        <f t="shared" si="0"/>
        <v>61.199999999999996</v>
      </c>
      <c r="H54" s="50">
        <f t="shared" si="1"/>
        <v>116.27999999999999</v>
      </c>
      <c r="I54" s="51">
        <f t="shared" si="5"/>
        <v>3.3000000000000003</v>
      </c>
      <c r="J54" s="52"/>
      <c r="K54" s="52"/>
      <c r="L54" s="53"/>
      <c r="M54" s="54">
        <f t="shared" si="3"/>
        <v>751.5</v>
      </c>
      <c r="N54" s="55">
        <f t="shared" si="4"/>
        <v>932.28</v>
      </c>
      <c r="O54" s="33" t="s">
        <v>54</v>
      </c>
      <c r="P54" s="60" t="s">
        <v>184</v>
      </c>
      <c r="Q54" s="60" t="s">
        <v>185</v>
      </c>
      <c r="R54" s="141" t="s">
        <v>59</v>
      </c>
      <c r="S54" s="62">
        <v>329111</v>
      </c>
      <c r="T54" s="60" t="s">
        <v>56</v>
      </c>
    </row>
    <row r="55" spans="1:22" x14ac:dyDescent="0.2">
      <c r="A55" s="45">
        <v>51</v>
      </c>
      <c r="B55" s="71" t="s">
        <v>187</v>
      </c>
      <c r="C55" s="46" t="s">
        <v>188</v>
      </c>
      <c r="D55" s="75" t="s">
        <v>189</v>
      </c>
      <c r="E55" s="74">
        <v>600</v>
      </c>
      <c r="F55" s="52">
        <v>600</v>
      </c>
      <c r="G55" s="50">
        <f t="shared" si="0"/>
        <v>45</v>
      </c>
      <c r="H55" s="50">
        <f t="shared" si="1"/>
        <v>85.499999999999986</v>
      </c>
      <c r="I55" s="51">
        <f t="shared" si="5"/>
        <v>0</v>
      </c>
      <c r="J55" s="52"/>
      <c r="K55" s="52"/>
      <c r="L55" s="53"/>
      <c r="M55" s="54">
        <f t="shared" si="3"/>
        <v>555</v>
      </c>
      <c r="N55" s="55">
        <f t="shared" si="4"/>
        <v>685.5</v>
      </c>
      <c r="O55" s="33" t="s">
        <v>54</v>
      </c>
      <c r="P55" s="60" t="s">
        <v>187</v>
      </c>
      <c r="Q55" s="60" t="s">
        <v>188</v>
      </c>
      <c r="R55" s="141" t="s">
        <v>59</v>
      </c>
      <c r="S55" s="62">
        <v>131111</v>
      </c>
      <c r="T55" s="60" t="s">
        <v>164</v>
      </c>
    </row>
    <row r="56" spans="1:22" x14ac:dyDescent="0.2">
      <c r="A56" s="45">
        <v>52</v>
      </c>
      <c r="B56" s="71" t="s">
        <v>190</v>
      </c>
      <c r="C56" s="46" t="s">
        <v>191</v>
      </c>
      <c r="D56" s="75" t="s">
        <v>186</v>
      </c>
      <c r="E56" s="74">
        <v>900</v>
      </c>
      <c r="F56" s="52">
        <v>900</v>
      </c>
      <c r="G56" s="50">
        <f t="shared" si="0"/>
        <v>67.5</v>
      </c>
      <c r="H56" s="50">
        <f t="shared" si="1"/>
        <v>128.25</v>
      </c>
      <c r="I56" s="51">
        <f>(IF((O56="No"),(IF((($F56*12)-9000)&lt;0,0,(IF((($F56*12)-9000)&gt;20000,(5000*5%+5000*10%+5000*15%+5000*20%+((($F56*12)-9000)-20000)*25%),IF((($F56*12)-9000)&gt;15000,(5000*5%+5000*10%+5000*15%+((($F56*12)-9000)-15000)*20%),IF((($F56*12)-9000)&gt;10000,(5000*5%+5000*10%+((($F56*12)-9000)-10000)*15%),IF((($F56*12)-9000)&gt;5000,(5000*5%+((($F56*12)-9000)-5000)*10%),IF((($F56*12)-9000)&lt;5000,(($F56*12)-9000)*5%)))))))),((IF((($F56*12)-18000)&lt;0,0,(IF((($F56*12)-18000)&gt;20000,(5000*5%+5000*10%+5000*15%+5000*20%+((($F56*12)-18000)-20000)*25%),IF((($F56*12)-18000)&gt;15000,(5000*5%+5000*10%+5000*15%+((($F56*12)-18000)-15000)*20%),IF((($F56*12)-18000)&gt;10000,(5000*5%+5000*10%+((($F56*12)-18000)-10000)*15%),IF((($F56*12)-18000)&gt;5000,(5000*5%+((($F56*12)-18000)-5000)*10%),IF((($F56*12)-18000)&lt;5000,(($F56*12)-18000)*5%))))))))))/12)</f>
        <v>7.5</v>
      </c>
      <c r="J56" s="52"/>
      <c r="K56" s="52">
        <v>0</v>
      </c>
      <c r="L56" s="53"/>
      <c r="M56" s="54">
        <f t="shared" si="3"/>
        <v>825</v>
      </c>
      <c r="N56" s="55">
        <f t="shared" si="4"/>
        <v>1028.25</v>
      </c>
      <c r="O56" s="33" t="s">
        <v>54</v>
      </c>
      <c r="P56" s="60" t="s">
        <v>190</v>
      </c>
      <c r="Q56" s="60" t="s">
        <v>191</v>
      </c>
      <c r="R56" s="141" t="s">
        <v>59</v>
      </c>
      <c r="S56" s="62">
        <v>329111</v>
      </c>
      <c r="T56" s="60" t="s">
        <v>56</v>
      </c>
    </row>
    <row r="57" spans="1:22" x14ac:dyDescent="0.2">
      <c r="A57" s="45">
        <v>53</v>
      </c>
      <c r="B57" s="71" t="s">
        <v>192</v>
      </c>
      <c r="C57" s="46" t="s">
        <v>193</v>
      </c>
      <c r="D57" s="75" t="s">
        <v>194</v>
      </c>
      <c r="E57" s="74">
        <v>1843</v>
      </c>
      <c r="F57" s="52">
        <v>1843</v>
      </c>
      <c r="G57" s="50">
        <f t="shared" si="0"/>
        <v>138.22499999999999</v>
      </c>
      <c r="H57" s="50">
        <f t="shared" si="1"/>
        <v>262.6275</v>
      </c>
      <c r="I57" s="51">
        <f t="shared" si="5"/>
        <v>101.45</v>
      </c>
      <c r="J57" s="52"/>
      <c r="K57" s="52"/>
      <c r="L57" s="53"/>
      <c r="M57" s="54">
        <f t="shared" si="3"/>
        <v>1603.325</v>
      </c>
      <c r="N57" s="55">
        <f t="shared" si="4"/>
        <v>2105.6275000000001</v>
      </c>
      <c r="O57" s="33" t="s">
        <v>54</v>
      </c>
      <c r="P57" s="60" t="s">
        <v>192</v>
      </c>
      <c r="Q57" s="60" t="s">
        <v>193</v>
      </c>
      <c r="R57" s="141" t="s">
        <v>59</v>
      </c>
      <c r="S57" s="62">
        <v>323111</v>
      </c>
      <c r="T57" s="60" t="s">
        <v>56</v>
      </c>
    </row>
    <row r="58" spans="1:22" ht="15" thickBot="1" x14ac:dyDescent="0.25">
      <c r="A58" s="45">
        <v>54</v>
      </c>
      <c r="B58" s="71" t="s">
        <v>195</v>
      </c>
      <c r="C58" s="46" t="s">
        <v>196</v>
      </c>
      <c r="D58" s="75" t="s">
        <v>186</v>
      </c>
      <c r="E58" s="74">
        <v>945</v>
      </c>
      <c r="F58" s="52">
        <v>945</v>
      </c>
      <c r="G58" s="50">
        <f t="shared" si="0"/>
        <v>70.875</v>
      </c>
      <c r="H58" s="50">
        <f t="shared" si="1"/>
        <v>134.66249999999999</v>
      </c>
      <c r="I58" s="51">
        <f t="shared" si="5"/>
        <v>9.75</v>
      </c>
      <c r="J58" s="52"/>
      <c r="K58" s="52"/>
      <c r="L58" s="53"/>
      <c r="M58" s="54">
        <f t="shared" si="3"/>
        <v>864.375</v>
      </c>
      <c r="N58" s="55">
        <f t="shared" si="4"/>
        <v>1079.6624999999999</v>
      </c>
      <c r="O58" s="33" t="s">
        <v>54</v>
      </c>
      <c r="P58" s="60" t="s">
        <v>195</v>
      </c>
      <c r="Q58" s="60" t="s">
        <v>196</v>
      </c>
      <c r="R58" s="141" t="s">
        <v>59</v>
      </c>
      <c r="S58" s="62">
        <v>329111</v>
      </c>
      <c r="T58" s="60" t="s">
        <v>56</v>
      </c>
    </row>
    <row r="59" spans="1:22" x14ac:dyDescent="0.2">
      <c r="A59" s="63">
        <v>55</v>
      </c>
      <c r="B59" s="71" t="s">
        <v>197</v>
      </c>
      <c r="C59" s="46" t="s">
        <v>198</v>
      </c>
      <c r="D59" s="75" t="s">
        <v>199</v>
      </c>
      <c r="E59" s="74">
        <v>1420</v>
      </c>
      <c r="F59" s="52">
        <v>1420</v>
      </c>
      <c r="G59" s="50">
        <f t="shared" si="0"/>
        <v>106.5</v>
      </c>
      <c r="H59" s="50">
        <f t="shared" si="1"/>
        <v>202.35</v>
      </c>
      <c r="I59" s="51">
        <f t="shared" si="5"/>
        <v>46.166666666666664</v>
      </c>
      <c r="J59" s="52"/>
      <c r="K59" s="52"/>
      <c r="L59" s="53"/>
      <c r="M59" s="54">
        <f t="shared" si="3"/>
        <v>1267.3333333333333</v>
      </c>
      <c r="N59" s="55">
        <f t="shared" si="4"/>
        <v>1622.35</v>
      </c>
      <c r="O59" s="33" t="s">
        <v>54</v>
      </c>
      <c r="P59" s="60" t="s">
        <v>197</v>
      </c>
      <c r="Q59" s="60" t="s">
        <v>198</v>
      </c>
      <c r="R59" s="141" t="s">
        <v>55</v>
      </c>
      <c r="S59" s="62">
        <v>323111</v>
      </c>
      <c r="T59" s="60" t="s">
        <v>56</v>
      </c>
    </row>
    <row r="60" spans="1:22" x14ac:dyDescent="0.2">
      <c r="A60" s="45">
        <v>56</v>
      </c>
      <c r="B60" s="71" t="s">
        <v>200</v>
      </c>
      <c r="C60" s="46" t="s">
        <v>201</v>
      </c>
      <c r="D60" s="75" t="s">
        <v>133</v>
      </c>
      <c r="E60" s="74">
        <v>1846</v>
      </c>
      <c r="F60" s="74">
        <v>1846</v>
      </c>
      <c r="G60" s="50">
        <f t="shared" si="0"/>
        <v>138.44999999999999</v>
      </c>
      <c r="H60" s="50">
        <f t="shared" si="1"/>
        <v>263.05499999999995</v>
      </c>
      <c r="I60" s="51">
        <f t="shared" si="5"/>
        <v>101.89999999999999</v>
      </c>
      <c r="J60" s="52"/>
      <c r="K60" s="52"/>
      <c r="L60" s="53"/>
      <c r="M60" s="54">
        <f t="shared" si="3"/>
        <v>1605.65</v>
      </c>
      <c r="N60" s="55">
        <f t="shared" si="4"/>
        <v>2109.0549999999998</v>
      </c>
      <c r="O60" s="33" t="s">
        <v>54</v>
      </c>
      <c r="P60" s="60" t="s">
        <v>200</v>
      </c>
      <c r="Q60" s="60" t="s">
        <v>201</v>
      </c>
      <c r="R60" s="141" t="s">
        <v>59</v>
      </c>
      <c r="S60" s="62">
        <v>323111</v>
      </c>
      <c r="T60" s="60" t="s">
        <v>56</v>
      </c>
    </row>
    <row r="61" spans="1:22" x14ac:dyDescent="0.2">
      <c r="A61" s="45">
        <v>57</v>
      </c>
      <c r="B61" s="71" t="s">
        <v>452</v>
      </c>
      <c r="C61" s="46" t="s">
        <v>453</v>
      </c>
      <c r="D61" s="75" t="s">
        <v>454</v>
      </c>
      <c r="E61" s="74">
        <v>1917</v>
      </c>
      <c r="F61" s="74">
        <v>1917</v>
      </c>
      <c r="G61" s="50">
        <f t="shared" si="0"/>
        <v>143.77500000000001</v>
      </c>
      <c r="H61" s="50">
        <f t="shared" si="1"/>
        <v>273.17249999999996</v>
      </c>
      <c r="I61" s="51">
        <f t="shared" si="5"/>
        <v>112.55</v>
      </c>
      <c r="J61" s="52"/>
      <c r="K61" s="52"/>
      <c r="L61" s="53"/>
      <c r="M61" s="54">
        <f t="shared" si="3"/>
        <v>1660.675</v>
      </c>
      <c r="N61" s="55">
        <f t="shared" si="4"/>
        <v>2190.1725000000001</v>
      </c>
      <c r="O61" s="33" t="s">
        <v>54</v>
      </c>
      <c r="P61" s="60" t="s">
        <v>452</v>
      </c>
      <c r="Q61" s="60" t="s">
        <v>453</v>
      </c>
      <c r="R61" s="141" t="s">
        <v>59</v>
      </c>
      <c r="S61" s="62">
        <v>329111</v>
      </c>
      <c r="T61" s="60" t="s">
        <v>56</v>
      </c>
    </row>
    <row r="62" spans="1:22" x14ac:dyDescent="0.2">
      <c r="A62" s="45">
        <v>58</v>
      </c>
      <c r="B62" s="71" t="s">
        <v>202</v>
      </c>
      <c r="C62" s="46" t="s">
        <v>203</v>
      </c>
      <c r="D62" s="76" t="s">
        <v>204</v>
      </c>
      <c r="E62" s="74">
        <v>320</v>
      </c>
      <c r="F62" s="52">
        <v>320</v>
      </c>
      <c r="G62" s="50">
        <f t="shared" si="0"/>
        <v>24</v>
      </c>
      <c r="H62" s="50">
        <f t="shared" si="1"/>
        <v>45.599999999999994</v>
      </c>
      <c r="I62" s="51">
        <f t="shared" si="5"/>
        <v>0</v>
      </c>
      <c r="J62" s="52"/>
      <c r="K62" s="52"/>
      <c r="L62" s="53"/>
      <c r="M62" s="54">
        <f t="shared" si="3"/>
        <v>296</v>
      </c>
      <c r="N62" s="55">
        <f t="shared" si="4"/>
        <v>365.6</v>
      </c>
      <c r="O62" s="33" t="s">
        <v>54</v>
      </c>
      <c r="P62" s="60" t="s">
        <v>202</v>
      </c>
      <c r="Q62" s="60" t="s">
        <v>203</v>
      </c>
      <c r="R62" s="141" t="s">
        <v>59</v>
      </c>
      <c r="S62" s="77">
        <v>326111</v>
      </c>
      <c r="T62" s="60" t="s">
        <v>56</v>
      </c>
    </row>
    <row r="63" spans="1:22" ht="15" thickBot="1" x14ac:dyDescent="0.25">
      <c r="A63" s="45">
        <v>59</v>
      </c>
      <c r="B63" s="71" t="s">
        <v>205</v>
      </c>
      <c r="C63" s="46" t="s">
        <v>206</v>
      </c>
      <c r="D63" s="78" t="s">
        <v>207</v>
      </c>
      <c r="E63" s="79">
        <v>1562</v>
      </c>
      <c r="F63" s="52">
        <v>1562</v>
      </c>
      <c r="G63" s="50">
        <f t="shared" si="0"/>
        <v>117.14999999999999</v>
      </c>
      <c r="H63" s="50">
        <f t="shared" si="1"/>
        <v>222.58499999999998</v>
      </c>
      <c r="I63" s="51">
        <f t="shared" si="5"/>
        <v>60.366666666666674</v>
      </c>
      <c r="J63" s="52"/>
      <c r="K63" s="52"/>
      <c r="L63" s="53"/>
      <c r="M63" s="54">
        <f t="shared" si="3"/>
        <v>1384.4833333333333</v>
      </c>
      <c r="N63" s="55">
        <f t="shared" si="4"/>
        <v>1784.585</v>
      </c>
      <c r="O63" s="33" t="s">
        <v>54</v>
      </c>
      <c r="P63" s="60" t="s">
        <v>205</v>
      </c>
      <c r="Q63" s="60" t="s">
        <v>206</v>
      </c>
      <c r="R63" s="141" t="s">
        <v>59</v>
      </c>
      <c r="S63" s="77">
        <v>329111</v>
      </c>
      <c r="T63" s="60" t="s">
        <v>56</v>
      </c>
      <c r="U63">
        <v>1948.9433333333334</v>
      </c>
      <c r="V63">
        <f>U63-M63</f>
        <v>564.46</v>
      </c>
    </row>
    <row r="64" spans="1:22" x14ac:dyDescent="0.2">
      <c r="A64" s="63">
        <v>60</v>
      </c>
      <c r="B64" s="71" t="s">
        <v>208</v>
      </c>
      <c r="C64" s="46" t="s">
        <v>209</v>
      </c>
      <c r="D64" s="76" t="s">
        <v>210</v>
      </c>
      <c r="E64" s="74">
        <v>2980</v>
      </c>
      <c r="F64" s="52">
        <v>2980</v>
      </c>
      <c r="G64" s="50">
        <f t="shared" si="0"/>
        <v>223.5</v>
      </c>
      <c r="H64" s="50">
        <f t="shared" si="1"/>
        <v>424.65</v>
      </c>
      <c r="I64" s="51">
        <f t="shared" si="5"/>
        <v>171</v>
      </c>
      <c r="J64" s="52"/>
      <c r="K64" s="52"/>
      <c r="L64" s="53"/>
      <c r="M64" s="54">
        <f t="shared" si="3"/>
        <v>2585.5</v>
      </c>
      <c r="N64" s="55">
        <f t="shared" si="4"/>
        <v>3404.65</v>
      </c>
      <c r="O64" s="33" t="s">
        <v>69</v>
      </c>
      <c r="P64" s="60" t="s">
        <v>208</v>
      </c>
      <c r="Q64" s="60" t="s">
        <v>209</v>
      </c>
      <c r="R64" s="141" t="s">
        <v>59</v>
      </c>
      <c r="S64" s="77">
        <v>329111</v>
      </c>
      <c r="T64" s="60" t="s">
        <v>56</v>
      </c>
    </row>
    <row r="65" spans="1:20" x14ac:dyDescent="0.2">
      <c r="A65" s="45">
        <v>61</v>
      </c>
      <c r="B65" s="71" t="s">
        <v>211</v>
      </c>
      <c r="C65" s="46" t="s">
        <v>212</v>
      </c>
      <c r="D65" s="76" t="s">
        <v>213</v>
      </c>
      <c r="E65" s="74">
        <v>1350</v>
      </c>
      <c r="F65" s="52">
        <v>1350</v>
      </c>
      <c r="G65" s="50">
        <f t="shared" si="0"/>
        <v>101.25</v>
      </c>
      <c r="H65" s="50">
        <f t="shared" si="1"/>
        <v>192.37499999999997</v>
      </c>
      <c r="I65" s="51">
        <f t="shared" si="5"/>
        <v>39.166666666666664</v>
      </c>
      <c r="J65" s="52"/>
      <c r="K65" s="52"/>
      <c r="L65" s="53"/>
      <c r="M65" s="54">
        <f t="shared" si="3"/>
        <v>1209.5833333333333</v>
      </c>
      <c r="N65" s="55">
        <f t="shared" si="4"/>
        <v>1542.375</v>
      </c>
      <c r="O65" s="33" t="s">
        <v>54</v>
      </c>
      <c r="P65" s="60" t="s">
        <v>211</v>
      </c>
      <c r="Q65" s="60" t="s">
        <v>212</v>
      </c>
      <c r="R65" s="141" t="s">
        <v>59</v>
      </c>
      <c r="S65" s="77">
        <v>329111</v>
      </c>
      <c r="T65" s="60" t="s">
        <v>56</v>
      </c>
    </row>
    <row r="66" spans="1:20" x14ac:dyDescent="0.2">
      <c r="A66" s="45">
        <v>62</v>
      </c>
      <c r="B66" s="71" t="s">
        <v>214</v>
      </c>
      <c r="C66" s="46" t="s">
        <v>215</v>
      </c>
      <c r="D66" s="76" t="s">
        <v>216</v>
      </c>
      <c r="E66" s="74">
        <v>1846</v>
      </c>
      <c r="F66" s="52">
        <v>1846</v>
      </c>
      <c r="G66" s="50">
        <f t="shared" si="0"/>
        <v>138.44999999999999</v>
      </c>
      <c r="H66" s="50">
        <f t="shared" si="1"/>
        <v>263.05499999999995</v>
      </c>
      <c r="I66" s="51">
        <f t="shared" si="5"/>
        <v>101.89999999999999</v>
      </c>
      <c r="J66" s="52"/>
      <c r="K66" s="52"/>
      <c r="L66" s="53"/>
      <c r="M66" s="54">
        <f t="shared" si="3"/>
        <v>1605.65</v>
      </c>
      <c r="N66" s="55">
        <f t="shared" si="4"/>
        <v>2109.0549999999998</v>
      </c>
      <c r="O66" s="33" t="s">
        <v>54</v>
      </c>
      <c r="P66" s="60" t="s">
        <v>214</v>
      </c>
      <c r="Q66" s="60" t="s">
        <v>215</v>
      </c>
      <c r="R66" s="141" t="s">
        <v>55</v>
      </c>
      <c r="S66" s="77">
        <v>325311</v>
      </c>
      <c r="T66" s="60" t="s">
        <v>56</v>
      </c>
    </row>
    <row r="67" spans="1:20" x14ac:dyDescent="0.2">
      <c r="A67" s="45">
        <v>63</v>
      </c>
      <c r="B67" s="71" t="s">
        <v>217</v>
      </c>
      <c r="C67" s="46" t="s">
        <v>218</v>
      </c>
      <c r="D67" s="76" t="s">
        <v>219</v>
      </c>
      <c r="E67" s="74">
        <v>1275</v>
      </c>
      <c r="F67" s="52">
        <v>1275</v>
      </c>
      <c r="G67" s="50">
        <f t="shared" si="0"/>
        <v>95.625</v>
      </c>
      <c r="H67" s="50">
        <f t="shared" si="1"/>
        <v>181.68749999999997</v>
      </c>
      <c r="I67" s="51">
        <f t="shared" si="5"/>
        <v>31.666666666666668</v>
      </c>
      <c r="J67" s="52"/>
      <c r="K67" s="52"/>
      <c r="L67" s="53"/>
      <c r="M67" s="54">
        <f t="shared" si="3"/>
        <v>1147.7083333333333</v>
      </c>
      <c r="N67" s="55">
        <f t="shared" si="4"/>
        <v>1456.6875</v>
      </c>
      <c r="O67" s="33" t="s">
        <v>54</v>
      </c>
      <c r="P67" s="60" t="s">
        <v>217</v>
      </c>
      <c r="Q67" s="60" t="s">
        <v>218</v>
      </c>
      <c r="R67" s="141" t="s">
        <v>55</v>
      </c>
      <c r="S67" s="77">
        <v>325311</v>
      </c>
      <c r="T67" s="60" t="s">
        <v>56</v>
      </c>
    </row>
    <row r="68" spans="1:20" ht="15" thickBot="1" x14ac:dyDescent="0.25">
      <c r="A68" s="45">
        <v>64</v>
      </c>
      <c r="B68" s="71" t="s">
        <v>220</v>
      </c>
      <c r="C68" s="46" t="s">
        <v>221</v>
      </c>
      <c r="D68" s="76" t="s">
        <v>222</v>
      </c>
      <c r="E68" s="74">
        <v>2485</v>
      </c>
      <c r="F68" s="52">
        <v>2485</v>
      </c>
      <c r="G68" s="50">
        <f t="shared" si="0"/>
        <v>186.375</v>
      </c>
      <c r="H68" s="50">
        <f t="shared" si="1"/>
        <v>354.11249999999995</v>
      </c>
      <c r="I68" s="51">
        <f t="shared" si="5"/>
        <v>225.41666666666666</v>
      </c>
      <c r="J68" s="52"/>
      <c r="K68" s="52"/>
      <c r="L68" s="53"/>
      <c r="M68" s="54">
        <f t="shared" si="3"/>
        <v>2073.2083333333335</v>
      </c>
      <c r="N68" s="55">
        <f t="shared" si="4"/>
        <v>2839.1125000000002</v>
      </c>
      <c r="O68" s="33" t="s">
        <v>54</v>
      </c>
      <c r="P68" s="60" t="s">
        <v>220</v>
      </c>
      <c r="Q68" s="60" t="s">
        <v>221</v>
      </c>
      <c r="R68" s="141" t="s">
        <v>223</v>
      </c>
      <c r="S68" s="77">
        <v>323111</v>
      </c>
      <c r="T68" s="60" t="s">
        <v>56</v>
      </c>
    </row>
    <row r="69" spans="1:20" x14ac:dyDescent="0.2">
      <c r="A69" s="63">
        <v>65</v>
      </c>
      <c r="B69" s="71" t="s">
        <v>224</v>
      </c>
      <c r="C69" s="46" t="s">
        <v>225</v>
      </c>
      <c r="D69" s="76" t="s">
        <v>226</v>
      </c>
      <c r="E69" s="74">
        <v>530</v>
      </c>
      <c r="F69" s="52">
        <v>530</v>
      </c>
      <c r="G69" s="50">
        <f t="shared" si="0"/>
        <v>39.75</v>
      </c>
      <c r="H69" s="50">
        <f t="shared" si="1"/>
        <v>75.524999999999991</v>
      </c>
      <c r="I69" s="51">
        <f t="shared" si="5"/>
        <v>0</v>
      </c>
      <c r="J69" s="52"/>
      <c r="K69" s="52"/>
      <c r="L69" s="53"/>
      <c r="M69" s="54">
        <f t="shared" si="3"/>
        <v>490.25</v>
      </c>
      <c r="N69" s="55">
        <f t="shared" si="4"/>
        <v>605.52499999999998</v>
      </c>
      <c r="O69" s="33" t="s">
        <v>54</v>
      </c>
      <c r="P69" s="60" t="s">
        <v>224</v>
      </c>
      <c r="Q69" s="60" t="s">
        <v>225</v>
      </c>
      <c r="R69" s="141" t="s">
        <v>55</v>
      </c>
      <c r="S69" s="77">
        <v>323111</v>
      </c>
      <c r="T69" s="60" t="s">
        <v>56</v>
      </c>
    </row>
    <row r="70" spans="1:20" x14ac:dyDescent="0.2">
      <c r="A70" s="45">
        <v>66</v>
      </c>
      <c r="B70" s="71" t="s">
        <v>227</v>
      </c>
      <c r="C70" s="46" t="s">
        <v>228</v>
      </c>
      <c r="D70" s="76" t="s">
        <v>229</v>
      </c>
      <c r="E70" s="74">
        <v>2600</v>
      </c>
      <c r="F70" s="52">
        <v>2600</v>
      </c>
      <c r="G70" s="50">
        <f t="shared" ref="G70:G106" si="6">E70*0.075</f>
        <v>195</v>
      </c>
      <c r="H70" s="50">
        <f t="shared" ref="H70:H106" si="7">E70*0.1425</f>
        <v>370.49999999999994</v>
      </c>
      <c r="I70" s="51">
        <f t="shared" si="5"/>
        <v>254.16666666666666</v>
      </c>
      <c r="J70" s="52"/>
      <c r="K70" s="52"/>
      <c r="L70" s="53"/>
      <c r="M70" s="54">
        <f t="shared" ref="M70:M108" si="8">(F70+K70)-SUM(G70,I70,J70,L70)</f>
        <v>2150.8333333333335</v>
      </c>
      <c r="N70" s="55">
        <f t="shared" ref="N70:N108" si="9">F70+H70</f>
        <v>2970.5</v>
      </c>
      <c r="O70" s="33" t="s">
        <v>54</v>
      </c>
      <c r="P70" s="60" t="s">
        <v>227</v>
      </c>
      <c r="Q70" s="60" t="s">
        <v>228</v>
      </c>
      <c r="R70" s="141" t="s">
        <v>55</v>
      </c>
      <c r="S70" s="77">
        <v>325311</v>
      </c>
      <c r="T70" s="60" t="s">
        <v>56</v>
      </c>
    </row>
    <row r="71" spans="1:20" x14ac:dyDescent="0.2">
      <c r="A71" s="45">
        <v>67</v>
      </c>
      <c r="B71" s="71" t="s">
        <v>444</v>
      </c>
      <c r="C71" s="46" t="s">
        <v>445</v>
      </c>
      <c r="D71" s="76" t="s">
        <v>446</v>
      </c>
      <c r="E71" s="74">
        <v>1562</v>
      </c>
      <c r="F71" s="52">
        <v>1562</v>
      </c>
      <c r="G71" s="50">
        <f t="shared" si="6"/>
        <v>117.14999999999999</v>
      </c>
      <c r="H71" s="50">
        <f t="shared" si="7"/>
        <v>222.58499999999998</v>
      </c>
      <c r="I71" s="51">
        <f t="shared" si="5"/>
        <v>60.366666666666674</v>
      </c>
      <c r="J71" s="52"/>
      <c r="K71" s="52"/>
      <c r="L71" s="53"/>
      <c r="M71" s="54">
        <f t="shared" si="8"/>
        <v>1384.4833333333333</v>
      </c>
      <c r="N71" s="55">
        <f t="shared" si="9"/>
        <v>1784.585</v>
      </c>
      <c r="O71" s="33" t="s">
        <v>54</v>
      </c>
      <c r="P71" s="60" t="s">
        <v>444</v>
      </c>
      <c r="Q71" s="60" t="s">
        <v>445</v>
      </c>
      <c r="R71" s="141" t="s">
        <v>55</v>
      </c>
      <c r="S71" s="77">
        <v>325311</v>
      </c>
      <c r="T71" s="60" t="s">
        <v>56</v>
      </c>
    </row>
    <row r="72" spans="1:20" x14ac:dyDescent="0.2">
      <c r="A72" s="45">
        <v>68</v>
      </c>
      <c r="B72" s="71" t="s">
        <v>230</v>
      </c>
      <c r="C72" s="46" t="s">
        <v>231</v>
      </c>
      <c r="D72" s="76" t="s">
        <v>232</v>
      </c>
      <c r="E72" s="74">
        <v>1100</v>
      </c>
      <c r="F72" s="52">
        <v>1100</v>
      </c>
      <c r="G72" s="50">
        <f t="shared" si="6"/>
        <v>82.5</v>
      </c>
      <c r="H72" s="50">
        <f t="shared" si="7"/>
        <v>156.75</v>
      </c>
      <c r="I72" s="51">
        <f t="shared" si="5"/>
        <v>17.5</v>
      </c>
      <c r="J72" s="52"/>
      <c r="K72" s="52"/>
      <c r="L72" s="53"/>
      <c r="M72" s="54">
        <f t="shared" si="8"/>
        <v>1000</v>
      </c>
      <c r="N72" s="55">
        <f t="shared" si="9"/>
        <v>1256.75</v>
      </c>
      <c r="O72" s="33" t="s">
        <v>54</v>
      </c>
      <c r="P72" s="60" t="s">
        <v>230</v>
      </c>
      <c r="Q72" s="60" t="s">
        <v>231</v>
      </c>
      <c r="R72" s="141"/>
      <c r="S72" s="77">
        <v>325311</v>
      </c>
      <c r="T72" s="60" t="s">
        <v>56</v>
      </c>
    </row>
    <row r="73" spans="1:20" ht="15" thickBot="1" x14ac:dyDescent="0.25">
      <c r="A73" s="45">
        <v>69</v>
      </c>
      <c r="B73" s="71" t="s">
        <v>233</v>
      </c>
      <c r="C73" s="46" t="s">
        <v>234</v>
      </c>
      <c r="D73" s="76" t="s">
        <v>204</v>
      </c>
      <c r="E73" s="80">
        <v>395</v>
      </c>
      <c r="F73" s="81">
        <v>395</v>
      </c>
      <c r="G73" s="50">
        <f t="shared" si="6"/>
        <v>29.625</v>
      </c>
      <c r="H73" s="50">
        <f t="shared" si="7"/>
        <v>56.287499999999994</v>
      </c>
      <c r="I73" s="51">
        <f t="shared" si="5"/>
        <v>0</v>
      </c>
      <c r="J73" s="52"/>
      <c r="K73" s="52"/>
      <c r="L73" s="53"/>
      <c r="M73" s="54">
        <f t="shared" si="8"/>
        <v>365.375</v>
      </c>
      <c r="N73" s="55">
        <f t="shared" si="9"/>
        <v>451.28750000000002</v>
      </c>
      <c r="O73" s="33" t="s">
        <v>54</v>
      </c>
      <c r="P73" s="60" t="s">
        <v>233</v>
      </c>
      <c r="Q73" s="60" t="s">
        <v>234</v>
      </c>
      <c r="R73" s="141"/>
      <c r="S73" s="77">
        <v>329111</v>
      </c>
      <c r="T73" s="60" t="s">
        <v>56</v>
      </c>
    </row>
    <row r="74" spans="1:20" x14ac:dyDescent="0.2">
      <c r="A74" s="63">
        <v>70</v>
      </c>
      <c r="B74" s="71" t="s">
        <v>235</v>
      </c>
      <c r="C74" s="46" t="s">
        <v>236</v>
      </c>
      <c r="D74" s="76" t="s">
        <v>204</v>
      </c>
      <c r="E74" s="80">
        <v>395</v>
      </c>
      <c r="F74" s="81">
        <v>395</v>
      </c>
      <c r="G74" s="50">
        <f t="shared" si="6"/>
        <v>29.625</v>
      </c>
      <c r="H74" s="50">
        <f t="shared" si="7"/>
        <v>56.287499999999994</v>
      </c>
      <c r="I74" s="51">
        <f t="shared" si="5"/>
        <v>0</v>
      </c>
      <c r="J74" s="52"/>
      <c r="K74" s="52"/>
      <c r="L74" s="53"/>
      <c r="M74" s="54">
        <f t="shared" si="8"/>
        <v>365.375</v>
      </c>
      <c r="N74" s="55">
        <f t="shared" si="9"/>
        <v>451.28750000000002</v>
      </c>
      <c r="O74" s="33" t="s">
        <v>54</v>
      </c>
      <c r="P74" s="60" t="s">
        <v>235</v>
      </c>
      <c r="Q74" s="60" t="s">
        <v>236</v>
      </c>
      <c r="R74" s="141"/>
      <c r="S74" s="77">
        <v>329111</v>
      </c>
      <c r="T74" s="60" t="s">
        <v>56</v>
      </c>
    </row>
    <row r="75" spans="1:20" x14ac:dyDescent="0.2">
      <c r="A75" s="45">
        <v>71</v>
      </c>
      <c r="B75" s="71" t="s">
        <v>237</v>
      </c>
      <c r="C75" s="46" t="s">
        <v>238</v>
      </c>
      <c r="D75" s="76" t="s">
        <v>239</v>
      </c>
      <c r="E75" s="74">
        <v>3000</v>
      </c>
      <c r="F75" s="52">
        <v>3000</v>
      </c>
      <c r="G75" s="50">
        <f t="shared" si="6"/>
        <v>225</v>
      </c>
      <c r="H75" s="50">
        <f t="shared" si="7"/>
        <v>427.49999999999994</v>
      </c>
      <c r="I75" s="51">
        <f t="shared" si="5"/>
        <v>175</v>
      </c>
      <c r="J75" s="52"/>
      <c r="K75" s="52"/>
      <c r="L75" s="53"/>
      <c r="M75" s="54">
        <f t="shared" si="8"/>
        <v>2600</v>
      </c>
      <c r="N75" s="55">
        <f t="shared" si="9"/>
        <v>3427.5</v>
      </c>
      <c r="O75" s="33" t="s">
        <v>69</v>
      </c>
      <c r="P75" s="60" t="s">
        <v>237</v>
      </c>
      <c r="Q75" s="60" t="s">
        <v>238</v>
      </c>
      <c r="R75" s="141"/>
      <c r="S75" s="77">
        <v>323111</v>
      </c>
      <c r="T75" s="60" t="s">
        <v>240</v>
      </c>
    </row>
    <row r="76" spans="1:20" x14ac:dyDescent="0.2">
      <c r="A76" s="45">
        <v>72</v>
      </c>
      <c r="B76" s="71" t="s">
        <v>241</v>
      </c>
      <c r="C76" s="46" t="s">
        <v>242</v>
      </c>
      <c r="D76" s="76" t="s">
        <v>243</v>
      </c>
      <c r="E76" s="74">
        <v>1136</v>
      </c>
      <c r="F76" s="52">
        <v>1136</v>
      </c>
      <c r="G76" s="50">
        <f t="shared" si="6"/>
        <v>85.2</v>
      </c>
      <c r="H76" s="50">
        <f t="shared" si="7"/>
        <v>161.88</v>
      </c>
      <c r="I76" s="51">
        <f t="shared" si="5"/>
        <v>19.3</v>
      </c>
      <c r="J76" s="52"/>
      <c r="K76" s="52"/>
      <c r="L76" s="53"/>
      <c r="M76" s="54">
        <f t="shared" si="8"/>
        <v>1031.5</v>
      </c>
      <c r="N76" s="55">
        <f t="shared" si="9"/>
        <v>1297.8800000000001</v>
      </c>
      <c r="O76" s="33" t="s">
        <v>54</v>
      </c>
      <c r="P76" s="60" t="s">
        <v>241</v>
      </c>
      <c r="Q76" s="60" t="s">
        <v>242</v>
      </c>
      <c r="R76" s="141"/>
      <c r="S76" s="77">
        <v>327111</v>
      </c>
      <c r="T76" s="60" t="s">
        <v>56</v>
      </c>
    </row>
    <row r="77" spans="1:20" x14ac:dyDescent="0.2">
      <c r="A77" s="45">
        <v>73</v>
      </c>
      <c r="B77" s="71" t="s">
        <v>244</v>
      </c>
      <c r="C77" s="46" t="s">
        <v>245</v>
      </c>
      <c r="D77" s="76" t="s">
        <v>133</v>
      </c>
      <c r="E77" s="74">
        <v>1455</v>
      </c>
      <c r="F77" s="52">
        <v>1455</v>
      </c>
      <c r="G77" s="50">
        <f t="shared" si="6"/>
        <v>109.125</v>
      </c>
      <c r="H77" s="50">
        <f t="shared" si="7"/>
        <v>207.33749999999998</v>
      </c>
      <c r="I77" s="51">
        <f t="shared" si="5"/>
        <v>0</v>
      </c>
      <c r="J77" s="52"/>
      <c r="K77" s="52"/>
      <c r="L77" s="53"/>
      <c r="M77" s="54">
        <f t="shared" si="8"/>
        <v>1345.875</v>
      </c>
      <c r="N77" s="55">
        <f t="shared" si="9"/>
        <v>1662.3375000000001</v>
      </c>
      <c r="O77" s="33" t="s">
        <v>69</v>
      </c>
      <c r="P77" s="60" t="s">
        <v>244</v>
      </c>
      <c r="Q77" s="60" t="s">
        <v>245</v>
      </c>
      <c r="R77" s="141"/>
      <c r="S77" s="77">
        <v>323111</v>
      </c>
      <c r="T77" s="60" t="s">
        <v>56</v>
      </c>
    </row>
    <row r="78" spans="1:20" ht="15" thickBot="1" x14ac:dyDescent="0.25">
      <c r="A78" s="45">
        <v>74</v>
      </c>
      <c r="B78" s="71" t="s">
        <v>246</v>
      </c>
      <c r="C78" s="46" t="s">
        <v>247</v>
      </c>
      <c r="D78" s="76" t="s">
        <v>216</v>
      </c>
      <c r="E78" s="74">
        <v>1915</v>
      </c>
      <c r="F78" s="52">
        <v>1915</v>
      </c>
      <c r="G78" s="50">
        <f t="shared" si="6"/>
        <v>143.625</v>
      </c>
      <c r="H78" s="50">
        <f t="shared" si="7"/>
        <v>272.88749999999999</v>
      </c>
      <c r="I78" s="51">
        <f t="shared" si="5"/>
        <v>20.75</v>
      </c>
      <c r="J78" s="52"/>
      <c r="K78" s="52"/>
      <c r="L78" s="53"/>
      <c r="M78" s="54">
        <f t="shared" si="8"/>
        <v>1750.625</v>
      </c>
      <c r="N78" s="55">
        <f t="shared" si="9"/>
        <v>2187.8874999999998</v>
      </c>
      <c r="O78" s="33" t="s">
        <v>69</v>
      </c>
      <c r="P78" s="60" t="s">
        <v>246</v>
      </c>
      <c r="Q78" s="60" t="s">
        <v>247</v>
      </c>
      <c r="R78" s="141"/>
      <c r="S78" s="77">
        <v>325311</v>
      </c>
      <c r="T78" s="60" t="s">
        <v>56</v>
      </c>
    </row>
    <row r="79" spans="1:20" x14ac:dyDescent="0.2">
      <c r="A79" s="63">
        <v>75</v>
      </c>
      <c r="B79" s="84" t="s">
        <v>248</v>
      </c>
      <c r="C79" s="46" t="s">
        <v>249</v>
      </c>
      <c r="D79" s="76" t="s">
        <v>250</v>
      </c>
      <c r="E79" s="74">
        <v>1207</v>
      </c>
      <c r="F79" s="52">
        <v>1207</v>
      </c>
      <c r="G79" s="50">
        <f t="shared" si="6"/>
        <v>90.524999999999991</v>
      </c>
      <c r="H79" s="50">
        <f t="shared" si="7"/>
        <v>171.99749999999997</v>
      </c>
      <c r="I79" s="51">
        <f t="shared" si="5"/>
        <v>24.866666666666664</v>
      </c>
      <c r="J79" s="52"/>
      <c r="K79" s="52"/>
      <c r="L79" s="53"/>
      <c r="M79" s="54">
        <f t="shared" si="8"/>
        <v>1091.6083333333333</v>
      </c>
      <c r="N79" s="55">
        <f t="shared" si="9"/>
        <v>1378.9974999999999</v>
      </c>
      <c r="O79" s="33" t="s">
        <v>54</v>
      </c>
      <c r="P79" s="60" t="s">
        <v>248</v>
      </c>
      <c r="Q79" s="60" t="s">
        <v>249</v>
      </c>
      <c r="R79" s="85"/>
      <c r="S79" s="122">
        <v>325411</v>
      </c>
      <c r="T79" t="s">
        <v>56</v>
      </c>
    </row>
    <row r="80" spans="1:20" x14ac:dyDescent="0.2">
      <c r="A80" s="45">
        <v>76</v>
      </c>
      <c r="B80" s="84" t="s">
        <v>251</v>
      </c>
      <c r="C80" s="46" t="s">
        <v>252</v>
      </c>
      <c r="D80" s="76" t="s">
        <v>253</v>
      </c>
      <c r="E80" s="74">
        <v>1560</v>
      </c>
      <c r="F80" s="52">
        <v>1560</v>
      </c>
      <c r="G80" s="50">
        <f t="shared" si="6"/>
        <v>117</v>
      </c>
      <c r="H80" s="50">
        <f t="shared" si="7"/>
        <v>222.29999999999998</v>
      </c>
      <c r="I80" s="51">
        <f t="shared" si="5"/>
        <v>60.166666666666664</v>
      </c>
      <c r="J80" s="52"/>
      <c r="K80" s="52"/>
      <c r="L80" s="53"/>
      <c r="M80" s="54">
        <f t="shared" si="8"/>
        <v>1382.8333333333333</v>
      </c>
      <c r="N80" s="55">
        <f t="shared" si="9"/>
        <v>1782.3</v>
      </c>
      <c r="O80" s="33" t="s">
        <v>54</v>
      </c>
      <c r="P80" s="60" t="s">
        <v>251</v>
      </c>
      <c r="Q80" s="60" t="s">
        <v>252</v>
      </c>
      <c r="R80" s="85"/>
      <c r="S80" s="122">
        <v>318223</v>
      </c>
      <c r="T80" t="s">
        <v>254</v>
      </c>
    </row>
    <row r="81" spans="1:20" x14ac:dyDescent="0.2">
      <c r="A81" s="45">
        <v>77</v>
      </c>
      <c r="B81" s="84" t="s">
        <v>255</v>
      </c>
      <c r="C81" s="46" t="s">
        <v>256</v>
      </c>
      <c r="D81" s="76" t="s">
        <v>257</v>
      </c>
      <c r="E81" s="74">
        <v>2500</v>
      </c>
      <c r="F81" s="52">
        <v>2500</v>
      </c>
      <c r="G81" s="50">
        <f t="shared" si="6"/>
        <v>187.5</v>
      </c>
      <c r="H81" s="50">
        <f t="shared" si="7"/>
        <v>356.24999999999994</v>
      </c>
      <c r="I81" s="51">
        <f t="shared" si="5"/>
        <v>87.5</v>
      </c>
      <c r="J81" s="52"/>
      <c r="K81" s="52"/>
      <c r="L81" s="53"/>
      <c r="M81" s="54">
        <f t="shared" si="8"/>
        <v>2225</v>
      </c>
      <c r="N81" s="55">
        <f t="shared" si="9"/>
        <v>2856.25</v>
      </c>
      <c r="O81" s="33" t="s">
        <v>69</v>
      </c>
      <c r="P81" s="60" t="s">
        <v>255</v>
      </c>
      <c r="Q81" s="60" t="s">
        <v>256</v>
      </c>
      <c r="R81" s="85"/>
      <c r="S81" s="122">
        <v>323111</v>
      </c>
      <c r="T81" t="s">
        <v>240</v>
      </c>
    </row>
    <row r="82" spans="1:20" x14ac:dyDescent="0.2">
      <c r="A82" s="45">
        <v>78</v>
      </c>
      <c r="B82" s="84" t="s">
        <v>258</v>
      </c>
      <c r="C82" s="46" t="s">
        <v>259</v>
      </c>
      <c r="D82" s="76" t="s">
        <v>260</v>
      </c>
      <c r="E82" s="74">
        <v>700</v>
      </c>
      <c r="F82" s="52">
        <v>700</v>
      </c>
      <c r="G82" s="50">
        <f t="shared" si="6"/>
        <v>52.5</v>
      </c>
      <c r="H82" s="50">
        <f t="shared" si="7"/>
        <v>99.749999999999986</v>
      </c>
      <c r="I82" s="51">
        <f t="shared" si="5"/>
        <v>0</v>
      </c>
      <c r="J82" s="52"/>
      <c r="K82" s="52"/>
      <c r="L82" s="53"/>
      <c r="M82" s="54">
        <f t="shared" si="8"/>
        <v>647.5</v>
      </c>
      <c r="N82" s="55">
        <f t="shared" si="9"/>
        <v>799.75</v>
      </c>
      <c r="O82" s="33" t="s">
        <v>54</v>
      </c>
      <c r="P82" s="60" t="s">
        <v>258</v>
      </c>
      <c r="Q82" s="60" t="s">
        <v>259</v>
      </c>
      <c r="R82" s="85"/>
      <c r="S82" s="122">
        <v>131111</v>
      </c>
      <c r="T82" t="s">
        <v>164</v>
      </c>
    </row>
    <row r="83" spans="1:20" ht="15" thickBot="1" x14ac:dyDescent="0.25">
      <c r="A83" s="45">
        <v>79</v>
      </c>
      <c r="B83" s="84" t="s">
        <v>261</v>
      </c>
      <c r="C83" s="46" t="s">
        <v>262</v>
      </c>
      <c r="D83" s="76" t="s">
        <v>263</v>
      </c>
      <c r="E83" s="74">
        <v>1560</v>
      </c>
      <c r="F83" s="52">
        <v>1560</v>
      </c>
      <c r="G83" s="50">
        <f t="shared" si="6"/>
        <v>117</v>
      </c>
      <c r="H83" s="50">
        <f t="shared" si="7"/>
        <v>222.29999999999998</v>
      </c>
      <c r="I83" s="51">
        <f t="shared" si="5"/>
        <v>3</v>
      </c>
      <c r="J83" s="52"/>
      <c r="K83" s="52"/>
      <c r="L83" s="53"/>
      <c r="M83" s="54">
        <f t="shared" si="8"/>
        <v>1440</v>
      </c>
      <c r="N83" s="55">
        <f t="shared" si="9"/>
        <v>1782.3</v>
      </c>
      <c r="O83" s="33" t="s">
        <v>69</v>
      </c>
      <c r="P83" s="60" t="s">
        <v>261</v>
      </c>
      <c r="Q83" s="60" t="s">
        <v>262</v>
      </c>
      <c r="R83" s="85"/>
      <c r="S83" s="122">
        <v>329111</v>
      </c>
      <c r="T83" t="s">
        <v>264</v>
      </c>
    </row>
    <row r="84" spans="1:20" x14ac:dyDescent="0.2">
      <c r="A84" s="63">
        <v>80</v>
      </c>
      <c r="B84" s="84" t="s">
        <v>265</v>
      </c>
      <c r="C84" s="46" t="s">
        <v>266</v>
      </c>
      <c r="D84" s="76" t="s">
        <v>263</v>
      </c>
      <c r="E84" s="74">
        <v>1560</v>
      </c>
      <c r="F84" s="52">
        <v>1560</v>
      </c>
      <c r="G84" s="50">
        <f t="shared" si="6"/>
        <v>117</v>
      </c>
      <c r="H84" s="50">
        <f t="shared" si="7"/>
        <v>222.29999999999998</v>
      </c>
      <c r="I84" s="51">
        <f t="shared" si="5"/>
        <v>3</v>
      </c>
      <c r="J84" s="52"/>
      <c r="K84" s="52"/>
      <c r="L84" s="53"/>
      <c r="M84" s="54">
        <f t="shared" si="8"/>
        <v>1440</v>
      </c>
      <c r="N84" s="55">
        <f t="shared" si="9"/>
        <v>1782.3</v>
      </c>
      <c r="O84" s="33" t="s">
        <v>69</v>
      </c>
      <c r="P84" s="60" t="s">
        <v>265</v>
      </c>
      <c r="Q84" s="60" t="s">
        <v>266</v>
      </c>
      <c r="R84" s="85"/>
      <c r="S84" s="122">
        <v>329111</v>
      </c>
      <c r="T84" t="s">
        <v>264</v>
      </c>
    </row>
    <row r="85" spans="1:20" x14ac:dyDescent="0.2">
      <c r="A85" s="45">
        <v>81</v>
      </c>
      <c r="B85" s="84" t="s">
        <v>267</v>
      </c>
      <c r="C85" s="46" t="s">
        <v>268</v>
      </c>
      <c r="D85" s="76" t="s">
        <v>269</v>
      </c>
      <c r="E85" s="74">
        <v>1420</v>
      </c>
      <c r="F85" s="52">
        <v>1420</v>
      </c>
      <c r="G85" s="50">
        <f t="shared" si="6"/>
        <v>106.5</v>
      </c>
      <c r="H85" s="50">
        <f t="shared" si="7"/>
        <v>202.35</v>
      </c>
      <c r="I85" s="51">
        <f t="shared" si="5"/>
        <v>46.166666666666664</v>
      </c>
      <c r="J85" s="52"/>
      <c r="K85" s="52"/>
      <c r="L85" s="53"/>
      <c r="M85" s="54">
        <f t="shared" si="8"/>
        <v>1267.3333333333333</v>
      </c>
      <c r="N85" s="55">
        <f t="shared" si="9"/>
        <v>1622.35</v>
      </c>
      <c r="O85" s="33" t="s">
        <v>54</v>
      </c>
      <c r="P85" s="60" t="s">
        <v>267</v>
      </c>
      <c r="Q85" s="60" t="s">
        <v>268</v>
      </c>
      <c r="R85" s="85"/>
      <c r="S85" s="122">
        <v>329111</v>
      </c>
      <c r="T85" t="s">
        <v>264</v>
      </c>
    </row>
    <row r="86" spans="1:20" x14ac:dyDescent="0.2">
      <c r="A86" s="45">
        <v>82</v>
      </c>
      <c r="B86" s="84" t="s">
        <v>270</v>
      </c>
      <c r="C86" s="46" t="s">
        <v>271</v>
      </c>
      <c r="D86" s="76" t="s">
        <v>250</v>
      </c>
      <c r="E86" s="74">
        <v>1207</v>
      </c>
      <c r="F86" s="52">
        <v>1207</v>
      </c>
      <c r="G86" s="50">
        <f t="shared" si="6"/>
        <v>90.524999999999991</v>
      </c>
      <c r="H86" s="50">
        <f t="shared" si="7"/>
        <v>171.99749999999997</v>
      </c>
      <c r="I86" s="51">
        <f t="shared" si="5"/>
        <v>24.866666666666664</v>
      </c>
      <c r="J86" s="52"/>
      <c r="K86" s="52"/>
      <c r="L86" s="53"/>
      <c r="M86" s="54">
        <f t="shared" si="8"/>
        <v>1091.6083333333333</v>
      </c>
      <c r="N86" s="55">
        <f t="shared" si="9"/>
        <v>1378.9974999999999</v>
      </c>
      <c r="O86" s="33" t="s">
        <v>54</v>
      </c>
      <c r="P86" s="60" t="s">
        <v>270</v>
      </c>
      <c r="Q86" s="60" t="s">
        <v>271</v>
      </c>
      <c r="R86" s="85"/>
      <c r="S86" s="122">
        <v>325411</v>
      </c>
      <c r="T86" t="s">
        <v>56</v>
      </c>
    </row>
    <row r="87" spans="1:20" x14ac:dyDescent="0.2">
      <c r="A87" s="45">
        <v>83</v>
      </c>
      <c r="B87" s="84" t="s">
        <v>272</v>
      </c>
      <c r="C87" s="46" t="s">
        <v>273</v>
      </c>
      <c r="D87" s="76" t="s">
        <v>274</v>
      </c>
      <c r="E87" s="74">
        <v>675</v>
      </c>
      <c r="F87" s="52">
        <v>675</v>
      </c>
      <c r="G87" s="50">
        <f t="shared" si="6"/>
        <v>50.625</v>
      </c>
      <c r="H87" s="50">
        <f t="shared" si="7"/>
        <v>96.187499999999986</v>
      </c>
      <c r="I87" s="51">
        <f t="shared" si="5"/>
        <v>0</v>
      </c>
      <c r="J87" s="52"/>
      <c r="K87" s="52"/>
      <c r="L87" s="53"/>
      <c r="M87" s="54">
        <f t="shared" si="8"/>
        <v>624.375</v>
      </c>
      <c r="N87" s="55">
        <f t="shared" si="9"/>
        <v>771.1875</v>
      </c>
      <c r="O87" s="33" t="s">
        <v>54</v>
      </c>
      <c r="P87" s="60" t="s">
        <v>272</v>
      </c>
      <c r="Q87" s="60" t="s">
        <v>273</v>
      </c>
      <c r="R87" s="85"/>
      <c r="S87" s="122">
        <v>325411</v>
      </c>
      <c r="T87" t="s">
        <v>275</v>
      </c>
    </row>
    <row r="88" spans="1:20" ht="15" thickBot="1" x14ac:dyDescent="0.25">
      <c r="A88" s="45">
        <v>84</v>
      </c>
      <c r="B88" s="84" t="s">
        <v>276</v>
      </c>
      <c r="C88" s="46" t="s">
        <v>277</v>
      </c>
      <c r="D88" s="76" t="s">
        <v>278</v>
      </c>
      <c r="E88" s="74">
        <v>530</v>
      </c>
      <c r="F88" s="52">
        <v>530</v>
      </c>
      <c r="G88" s="50">
        <f t="shared" si="6"/>
        <v>39.75</v>
      </c>
      <c r="H88" s="50">
        <f t="shared" si="7"/>
        <v>75.524999999999991</v>
      </c>
      <c r="I88" s="51">
        <f t="shared" si="5"/>
        <v>0</v>
      </c>
      <c r="J88" s="52"/>
      <c r="K88" s="52"/>
      <c r="L88" s="53"/>
      <c r="M88" s="54">
        <f t="shared" si="8"/>
        <v>490.25</v>
      </c>
      <c r="N88" s="55">
        <f t="shared" si="9"/>
        <v>605.52499999999998</v>
      </c>
      <c r="O88" s="33" t="s">
        <v>54</v>
      </c>
      <c r="P88" s="60" t="s">
        <v>276</v>
      </c>
      <c r="Q88" s="60" t="s">
        <v>277</v>
      </c>
      <c r="R88" s="85"/>
      <c r="S88" s="122">
        <v>325411</v>
      </c>
      <c r="T88" t="s">
        <v>275</v>
      </c>
    </row>
    <row r="89" spans="1:20" x14ac:dyDescent="0.2">
      <c r="A89" s="63">
        <v>85</v>
      </c>
      <c r="B89" s="84" t="s">
        <v>279</v>
      </c>
      <c r="C89" s="46" t="s">
        <v>280</v>
      </c>
      <c r="D89" s="76" t="s">
        <v>250</v>
      </c>
      <c r="E89" s="74">
        <v>1280</v>
      </c>
      <c r="F89" s="52">
        <v>1280</v>
      </c>
      <c r="G89" s="50">
        <f t="shared" si="6"/>
        <v>96</v>
      </c>
      <c r="H89" s="50">
        <f t="shared" si="7"/>
        <v>182.39999999999998</v>
      </c>
      <c r="I89" s="51">
        <f t="shared" si="5"/>
        <v>32.166666666666664</v>
      </c>
      <c r="J89" s="52"/>
      <c r="K89" s="52"/>
      <c r="L89" s="53"/>
      <c r="M89" s="54">
        <f t="shared" si="8"/>
        <v>1151.8333333333333</v>
      </c>
      <c r="N89" s="55">
        <f t="shared" si="9"/>
        <v>1462.4</v>
      </c>
      <c r="O89" s="33" t="s">
        <v>54</v>
      </c>
      <c r="P89" s="60" t="s">
        <v>279</v>
      </c>
      <c r="Q89" s="60" t="s">
        <v>281</v>
      </c>
      <c r="R89" s="85"/>
      <c r="S89" s="122">
        <v>325311</v>
      </c>
      <c r="T89" t="s">
        <v>56</v>
      </c>
    </row>
    <row r="90" spans="1:20" x14ac:dyDescent="0.2">
      <c r="A90" s="45">
        <v>86</v>
      </c>
      <c r="B90" s="84" t="s">
        <v>282</v>
      </c>
      <c r="C90" s="46" t="s">
        <v>283</v>
      </c>
      <c r="D90" s="76" t="s">
        <v>284</v>
      </c>
      <c r="E90" s="74">
        <v>850</v>
      </c>
      <c r="F90" s="52">
        <v>850</v>
      </c>
      <c r="G90" s="50">
        <f t="shared" si="6"/>
        <v>63.75</v>
      </c>
      <c r="H90" s="50">
        <f t="shared" si="7"/>
        <v>121.12499999999999</v>
      </c>
      <c r="I90" s="51">
        <f t="shared" si="5"/>
        <v>5</v>
      </c>
      <c r="J90" s="52"/>
      <c r="K90" s="52"/>
      <c r="L90" s="53"/>
      <c r="M90" s="54">
        <f t="shared" si="8"/>
        <v>781.25</v>
      </c>
      <c r="N90" s="55">
        <f t="shared" si="9"/>
        <v>971.125</v>
      </c>
      <c r="O90" s="33" t="s">
        <v>54</v>
      </c>
      <c r="P90" s="88" t="s">
        <v>282</v>
      </c>
      <c r="Q90" s="88" t="s">
        <v>283</v>
      </c>
      <c r="R90" s="85"/>
      <c r="S90" s="122">
        <v>323111</v>
      </c>
      <c r="T90" t="s">
        <v>56</v>
      </c>
    </row>
    <row r="91" spans="1:20" x14ac:dyDescent="0.2">
      <c r="A91" s="45">
        <v>87</v>
      </c>
      <c r="B91" s="84" t="s">
        <v>285</v>
      </c>
      <c r="C91" s="46" t="s">
        <v>286</v>
      </c>
      <c r="D91" s="76" t="s">
        <v>287</v>
      </c>
      <c r="E91" s="74">
        <v>550</v>
      </c>
      <c r="F91" s="52">
        <v>550</v>
      </c>
      <c r="G91" s="50">
        <f t="shared" si="6"/>
        <v>41.25</v>
      </c>
      <c r="H91" s="50">
        <f t="shared" si="7"/>
        <v>78.375</v>
      </c>
      <c r="I91" s="51">
        <f t="shared" si="5"/>
        <v>0</v>
      </c>
      <c r="J91" s="52"/>
      <c r="K91" s="52"/>
      <c r="L91" s="53"/>
      <c r="M91" s="54">
        <f t="shared" si="8"/>
        <v>508.75</v>
      </c>
      <c r="N91" s="55">
        <f t="shared" si="9"/>
        <v>628.375</v>
      </c>
      <c r="O91" s="33" t="s">
        <v>54</v>
      </c>
      <c r="P91" s="88" t="s">
        <v>285</v>
      </c>
      <c r="Q91" s="88" t="s">
        <v>286</v>
      </c>
      <c r="R91" s="85"/>
      <c r="S91" s="122">
        <v>323111</v>
      </c>
      <c r="T91" t="s">
        <v>56</v>
      </c>
    </row>
    <row r="92" spans="1:20" x14ac:dyDescent="0.2">
      <c r="A92" s="45">
        <v>88</v>
      </c>
      <c r="B92" s="84" t="s">
        <v>288</v>
      </c>
      <c r="C92" s="46" t="s">
        <v>289</v>
      </c>
      <c r="D92" s="76" t="s">
        <v>287</v>
      </c>
      <c r="E92" s="74">
        <v>550</v>
      </c>
      <c r="F92" s="52">
        <v>550</v>
      </c>
      <c r="G92" s="50">
        <f t="shared" si="6"/>
        <v>41.25</v>
      </c>
      <c r="H92" s="50">
        <f t="shared" si="7"/>
        <v>78.375</v>
      </c>
      <c r="I92" s="51">
        <f t="shared" si="5"/>
        <v>0</v>
      </c>
      <c r="J92" s="52"/>
      <c r="K92" s="52"/>
      <c r="L92" s="53"/>
      <c r="M92" s="54">
        <f t="shared" si="8"/>
        <v>508.75</v>
      </c>
      <c r="N92" s="55">
        <f t="shared" si="9"/>
        <v>628.375</v>
      </c>
      <c r="O92" s="33" t="s">
        <v>54</v>
      </c>
      <c r="P92" s="88" t="s">
        <v>288</v>
      </c>
      <c r="Q92" s="88" t="s">
        <v>289</v>
      </c>
      <c r="R92" s="85"/>
      <c r="S92" s="122">
        <v>323111</v>
      </c>
      <c r="T92" t="s">
        <v>56</v>
      </c>
    </row>
    <row r="93" spans="1:20" ht="15.75" thickBot="1" x14ac:dyDescent="0.3">
      <c r="A93" s="45">
        <v>89</v>
      </c>
      <c r="B93" s="84" t="s">
        <v>290</v>
      </c>
      <c r="C93" s="89" t="s">
        <v>291</v>
      </c>
      <c r="D93" s="76" t="s">
        <v>65</v>
      </c>
      <c r="E93" s="74">
        <v>850</v>
      </c>
      <c r="F93" s="52">
        <v>850</v>
      </c>
      <c r="G93" s="50">
        <f t="shared" si="6"/>
        <v>63.75</v>
      </c>
      <c r="H93" s="50">
        <f t="shared" si="7"/>
        <v>121.12499999999999</v>
      </c>
      <c r="I93" s="51">
        <f t="shared" si="5"/>
        <v>5</v>
      </c>
      <c r="J93" s="52"/>
      <c r="K93" s="52"/>
      <c r="L93" s="53"/>
      <c r="M93" s="54">
        <f t="shared" si="8"/>
        <v>781.25</v>
      </c>
      <c r="N93" s="55">
        <f t="shared" si="9"/>
        <v>971.125</v>
      </c>
      <c r="O93" s="33" t="s">
        <v>54</v>
      </c>
      <c r="P93" s="84" t="s">
        <v>290</v>
      </c>
      <c r="Q93" s="89" t="s">
        <v>291</v>
      </c>
      <c r="R93" s="85"/>
      <c r="S93" s="90">
        <v>323111</v>
      </c>
      <c r="T93" s="60" t="s">
        <v>56</v>
      </c>
    </row>
    <row r="94" spans="1:20" ht="15" x14ac:dyDescent="0.25">
      <c r="A94" s="63">
        <v>90</v>
      </c>
      <c r="B94" s="84" t="s">
        <v>292</v>
      </c>
      <c r="C94" s="89" t="s">
        <v>293</v>
      </c>
      <c r="D94" s="76" t="s">
        <v>65</v>
      </c>
      <c r="E94" s="74">
        <v>850</v>
      </c>
      <c r="F94" s="52">
        <v>850</v>
      </c>
      <c r="G94" s="50">
        <f t="shared" si="6"/>
        <v>63.75</v>
      </c>
      <c r="H94" s="50">
        <f t="shared" si="7"/>
        <v>121.12499999999999</v>
      </c>
      <c r="I94" s="51">
        <f t="shared" si="5"/>
        <v>5</v>
      </c>
      <c r="J94" s="52"/>
      <c r="K94" s="52"/>
      <c r="L94" s="53"/>
      <c r="M94" s="54">
        <f t="shared" si="8"/>
        <v>781.25</v>
      </c>
      <c r="N94" s="55">
        <f t="shared" si="9"/>
        <v>971.125</v>
      </c>
      <c r="O94" s="33" t="s">
        <v>54</v>
      </c>
      <c r="P94" s="84" t="s">
        <v>292</v>
      </c>
      <c r="Q94" s="89" t="s">
        <v>293</v>
      </c>
      <c r="R94" s="85"/>
      <c r="S94" s="90">
        <v>323111</v>
      </c>
      <c r="T94" s="60" t="s">
        <v>56</v>
      </c>
    </row>
    <row r="95" spans="1:20" ht="15" x14ac:dyDescent="0.25">
      <c r="A95" s="45">
        <v>91</v>
      </c>
      <c r="B95" s="84" t="s">
        <v>294</v>
      </c>
      <c r="C95" s="89" t="s">
        <v>295</v>
      </c>
      <c r="D95" s="76" t="s">
        <v>296</v>
      </c>
      <c r="E95" s="74">
        <v>1170</v>
      </c>
      <c r="F95" s="52">
        <v>1170</v>
      </c>
      <c r="G95" s="50">
        <f t="shared" si="6"/>
        <v>87.75</v>
      </c>
      <c r="H95" s="50">
        <f t="shared" si="7"/>
        <v>166.72499999999999</v>
      </c>
      <c r="I95" s="51">
        <f t="shared" si="5"/>
        <v>21.166666666666668</v>
      </c>
      <c r="J95" s="52"/>
      <c r="K95" s="52"/>
      <c r="L95" s="53"/>
      <c r="M95" s="54">
        <f t="shared" si="8"/>
        <v>1061.0833333333333</v>
      </c>
      <c r="N95" s="55">
        <f t="shared" si="9"/>
        <v>1336.7249999999999</v>
      </c>
      <c r="O95" s="33" t="s">
        <v>54</v>
      </c>
      <c r="P95" s="84" t="s">
        <v>294</v>
      </c>
      <c r="Q95" s="89" t="s">
        <v>295</v>
      </c>
      <c r="R95" s="85"/>
      <c r="S95" s="90">
        <v>326111</v>
      </c>
      <c r="T95" s="91" t="s">
        <v>56</v>
      </c>
    </row>
    <row r="96" spans="1:20" ht="15" x14ac:dyDescent="0.25">
      <c r="A96" s="45">
        <v>92</v>
      </c>
      <c r="B96" s="84" t="s">
        <v>297</v>
      </c>
      <c r="C96" s="89" t="s">
        <v>298</v>
      </c>
      <c r="D96" s="76" t="s">
        <v>299</v>
      </c>
      <c r="E96" s="74">
        <v>2770</v>
      </c>
      <c r="F96" s="52">
        <v>2770</v>
      </c>
      <c r="G96" s="50">
        <f t="shared" si="6"/>
        <v>207.75</v>
      </c>
      <c r="H96" s="50">
        <f t="shared" si="7"/>
        <v>394.72499999999997</v>
      </c>
      <c r="I96" s="51">
        <f t="shared" si="5"/>
        <v>129</v>
      </c>
      <c r="J96" s="52"/>
      <c r="K96" s="52"/>
      <c r="L96" s="53"/>
      <c r="M96" s="54">
        <f t="shared" si="8"/>
        <v>2433.25</v>
      </c>
      <c r="N96" s="55">
        <f t="shared" si="9"/>
        <v>3164.7249999999999</v>
      </c>
      <c r="O96" s="33" t="s">
        <v>69</v>
      </c>
      <c r="P96" s="84" t="s">
        <v>297</v>
      </c>
      <c r="Q96" s="89" t="s">
        <v>298</v>
      </c>
      <c r="R96" s="85"/>
      <c r="S96" s="90">
        <v>329111</v>
      </c>
      <c r="T96" s="91" t="s">
        <v>56</v>
      </c>
    </row>
    <row r="97" spans="1:20" ht="15" x14ac:dyDescent="0.25">
      <c r="A97" s="45">
        <v>93</v>
      </c>
      <c r="B97" s="84" t="s">
        <v>447</v>
      </c>
      <c r="C97" s="89" t="s">
        <v>448</v>
      </c>
      <c r="D97" s="76" t="s">
        <v>449</v>
      </c>
      <c r="E97" s="74">
        <v>1350</v>
      </c>
      <c r="F97" s="52">
        <v>1350</v>
      </c>
      <c r="G97" s="50">
        <f t="shared" si="6"/>
        <v>101.25</v>
      </c>
      <c r="H97" s="50">
        <f t="shared" si="7"/>
        <v>192.37499999999997</v>
      </c>
      <c r="I97" s="51">
        <f t="shared" si="5"/>
        <v>39.166666666666664</v>
      </c>
      <c r="J97" s="52"/>
      <c r="K97" s="52"/>
      <c r="L97" s="53"/>
      <c r="M97" s="54">
        <f t="shared" si="8"/>
        <v>1209.5833333333333</v>
      </c>
      <c r="N97" s="55">
        <f t="shared" si="9"/>
        <v>1542.375</v>
      </c>
      <c r="O97" s="33" t="s">
        <v>54</v>
      </c>
      <c r="P97" s="84" t="s">
        <v>447</v>
      </c>
      <c r="Q97" s="89" t="s">
        <v>448</v>
      </c>
      <c r="R97" s="85"/>
      <c r="S97" s="77">
        <v>122311</v>
      </c>
      <c r="T97" s="142" t="s">
        <v>110</v>
      </c>
    </row>
    <row r="98" spans="1:20" ht="15" thickBot="1" x14ac:dyDescent="0.25">
      <c r="A98" s="45">
        <v>94</v>
      </c>
      <c r="B98" s="84" t="s">
        <v>300</v>
      </c>
      <c r="C98" s="92" t="s">
        <v>301</v>
      </c>
      <c r="D98" s="76" t="s">
        <v>302</v>
      </c>
      <c r="E98" s="74">
        <v>1420</v>
      </c>
      <c r="F98" s="52">
        <v>1420</v>
      </c>
      <c r="G98" s="50">
        <f t="shared" si="6"/>
        <v>106.5</v>
      </c>
      <c r="H98" s="50">
        <f t="shared" si="7"/>
        <v>202.35</v>
      </c>
      <c r="I98" s="51">
        <f t="shared" si="5"/>
        <v>46.166666666666664</v>
      </c>
      <c r="J98" s="52"/>
      <c r="K98" s="52"/>
      <c r="L98" s="53"/>
      <c r="M98" s="54">
        <f t="shared" si="8"/>
        <v>1267.3333333333333</v>
      </c>
      <c r="N98" s="55">
        <f t="shared" si="9"/>
        <v>1622.35</v>
      </c>
      <c r="O98" s="33" t="s">
        <v>54</v>
      </c>
      <c r="P98" s="84" t="s">
        <v>300</v>
      </c>
      <c r="Q98" s="92" t="s">
        <v>301</v>
      </c>
      <c r="R98" s="85"/>
      <c r="S98" s="90">
        <v>325311</v>
      </c>
      <c r="T98" s="91" t="s">
        <v>56</v>
      </c>
    </row>
    <row r="99" spans="1:20" x14ac:dyDescent="0.2">
      <c r="A99" s="63">
        <v>95</v>
      </c>
      <c r="B99" s="84" t="s">
        <v>303</v>
      </c>
      <c r="C99" s="92" t="s">
        <v>304</v>
      </c>
      <c r="D99" s="76" t="s">
        <v>302</v>
      </c>
      <c r="E99" s="74">
        <v>1490</v>
      </c>
      <c r="F99" s="52">
        <v>1490</v>
      </c>
      <c r="G99" s="50">
        <f t="shared" si="6"/>
        <v>111.75</v>
      </c>
      <c r="H99" s="50">
        <f t="shared" si="7"/>
        <v>212.32499999999999</v>
      </c>
      <c r="I99" s="51">
        <f t="shared" si="5"/>
        <v>53.166666666666664</v>
      </c>
      <c r="J99" s="52"/>
      <c r="K99" s="52"/>
      <c r="L99" s="53"/>
      <c r="M99" s="54">
        <f t="shared" si="8"/>
        <v>1325.0833333333333</v>
      </c>
      <c r="N99" s="55">
        <f t="shared" si="9"/>
        <v>1702.325</v>
      </c>
      <c r="O99" s="33" t="s">
        <v>54</v>
      </c>
      <c r="P99" s="84" t="s">
        <v>303</v>
      </c>
      <c r="Q99" s="92" t="s">
        <v>304</v>
      </c>
      <c r="R99" s="85"/>
      <c r="S99" s="122">
        <v>325311</v>
      </c>
      <c r="T99" s="143" t="s">
        <v>56</v>
      </c>
    </row>
    <row r="100" spans="1:20" x14ac:dyDescent="0.2">
      <c r="A100" s="45">
        <v>96</v>
      </c>
      <c r="B100" s="84" t="s">
        <v>305</v>
      </c>
      <c r="C100" s="92" t="s">
        <v>306</v>
      </c>
      <c r="D100" s="76" t="s">
        <v>307</v>
      </c>
      <c r="E100" s="74">
        <v>1008</v>
      </c>
      <c r="F100" s="52">
        <v>1008</v>
      </c>
      <c r="G100" s="50">
        <f t="shared" si="6"/>
        <v>75.599999999999994</v>
      </c>
      <c r="H100" s="50">
        <f t="shared" si="7"/>
        <v>143.63999999999999</v>
      </c>
      <c r="I100" s="51">
        <f t="shared" si="5"/>
        <v>12.9</v>
      </c>
      <c r="J100" s="52"/>
      <c r="K100" s="52"/>
      <c r="L100" s="53"/>
      <c r="M100" s="54">
        <f t="shared" si="8"/>
        <v>919.5</v>
      </c>
      <c r="N100" s="55">
        <f t="shared" si="9"/>
        <v>1151.6399999999999</v>
      </c>
      <c r="O100" s="33" t="s">
        <v>54</v>
      </c>
      <c r="P100" s="84" t="s">
        <v>305</v>
      </c>
      <c r="Q100" s="92" t="s">
        <v>306</v>
      </c>
      <c r="R100" s="85"/>
      <c r="S100" s="122">
        <v>322111</v>
      </c>
      <c r="T100" s="143" t="s">
        <v>56</v>
      </c>
    </row>
    <row r="101" spans="1:20" x14ac:dyDescent="0.2">
      <c r="A101" s="45">
        <v>97</v>
      </c>
      <c r="B101" s="84" t="s">
        <v>308</v>
      </c>
      <c r="C101" s="92" t="s">
        <v>309</v>
      </c>
      <c r="D101" s="76" t="s">
        <v>310</v>
      </c>
      <c r="E101" s="74">
        <v>2130</v>
      </c>
      <c r="F101" s="52">
        <v>2130</v>
      </c>
      <c r="G101" s="50">
        <f t="shared" si="6"/>
        <v>159.75</v>
      </c>
      <c r="H101" s="50">
        <f t="shared" si="7"/>
        <v>303.52499999999998</v>
      </c>
      <c r="I101" s="51">
        <f t="shared" si="5"/>
        <v>151</v>
      </c>
      <c r="J101" s="52"/>
      <c r="K101" s="52"/>
      <c r="L101" s="53"/>
      <c r="M101" s="54">
        <f t="shared" si="8"/>
        <v>1819.25</v>
      </c>
      <c r="N101" s="55">
        <f t="shared" si="9"/>
        <v>2433.5250000000001</v>
      </c>
      <c r="O101" s="33" t="s">
        <v>54</v>
      </c>
      <c r="P101" s="84" t="s">
        <v>308</v>
      </c>
      <c r="Q101" s="92" t="s">
        <v>309</v>
      </c>
      <c r="R101" s="85"/>
      <c r="S101" s="122">
        <v>325311</v>
      </c>
      <c r="T101" t="s">
        <v>56</v>
      </c>
    </row>
    <row r="102" spans="1:20" x14ac:dyDescent="0.2">
      <c r="A102" s="45">
        <v>98</v>
      </c>
      <c r="B102" s="84" t="s">
        <v>311</v>
      </c>
      <c r="C102" s="92" t="s">
        <v>312</v>
      </c>
      <c r="D102" s="76" t="s">
        <v>313</v>
      </c>
      <c r="E102" s="74">
        <v>1880</v>
      </c>
      <c r="F102" s="52">
        <f>(E102/31*9)+E102</f>
        <v>2425.8064516129034</v>
      </c>
      <c r="G102" s="50">
        <f t="shared" si="6"/>
        <v>141</v>
      </c>
      <c r="H102" s="50">
        <f t="shared" si="7"/>
        <v>267.89999999999998</v>
      </c>
      <c r="I102" s="51">
        <f t="shared" si="5"/>
        <v>210.61827956989251</v>
      </c>
      <c r="J102" s="52"/>
      <c r="K102" s="52"/>
      <c r="L102" s="53"/>
      <c r="M102" s="54">
        <f t="shared" si="8"/>
        <v>2074.188172043011</v>
      </c>
      <c r="N102" s="55">
        <f t="shared" si="9"/>
        <v>2693.7064516129035</v>
      </c>
      <c r="O102" s="33" t="s">
        <v>54</v>
      </c>
      <c r="P102" s="84" t="s">
        <v>311</v>
      </c>
      <c r="Q102" s="92" t="s">
        <v>312</v>
      </c>
      <c r="R102" s="85"/>
      <c r="S102" s="62">
        <v>329111</v>
      </c>
      <c r="T102" s="94" t="s">
        <v>56</v>
      </c>
    </row>
    <row r="103" spans="1:20" ht="15" thickBot="1" x14ac:dyDescent="0.25">
      <c r="A103" s="45">
        <v>99</v>
      </c>
      <c r="B103" s="84" t="s">
        <v>314</v>
      </c>
      <c r="C103" s="92" t="s">
        <v>315</v>
      </c>
      <c r="D103" s="76" t="s">
        <v>316</v>
      </c>
      <c r="E103" s="74">
        <v>320</v>
      </c>
      <c r="F103" s="52">
        <f>E103/30*25</f>
        <v>266.66666666666663</v>
      </c>
      <c r="G103" s="50">
        <f t="shared" si="6"/>
        <v>24</v>
      </c>
      <c r="H103" s="50">
        <f t="shared" si="7"/>
        <v>45.599999999999994</v>
      </c>
      <c r="I103" s="51">
        <f t="shared" si="5"/>
        <v>0</v>
      </c>
      <c r="J103" s="52"/>
      <c r="K103" s="52"/>
      <c r="L103" s="53"/>
      <c r="M103" s="54">
        <f t="shared" si="8"/>
        <v>242.66666666666663</v>
      </c>
      <c r="N103" s="55">
        <f t="shared" si="9"/>
        <v>312.26666666666665</v>
      </c>
      <c r="O103" s="33" t="s">
        <v>54</v>
      </c>
      <c r="P103" s="84" t="s">
        <v>314</v>
      </c>
      <c r="Q103" s="92" t="s">
        <v>315</v>
      </c>
      <c r="R103" s="85"/>
      <c r="S103" s="122">
        <v>318531</v>
      </c>
      <c r="T103" t="s">
        <v>317</v>
      </c>
    </row>
    <row r="104" spans="1:20" x14ac:dyDescent="0.2">
      <c r="A104" s="63">
        <v>100</v>
      </c>
      <c r="B104" s="84" t="s">
        <v>318</v>
      </c>
      <c r="C104" s="92" t="s">
        <v>319</v>
      </c>
      <c r="D104" s="76" t="s">
        <v>320</v>
      </c>
      <c r="E104" s="74">
        <v>8300</v>
      </c>
      <c r="F104" s="52">
        <f>E104/30*25</f>
        <v>6916.666666666667</v>
      </c>
      <c r="G104" s="50">
        <f>5000*0.075</f>
        <v>375</v>
      </c>
      <c r="H104" s="50">
        <f>5000*0.1425</f>
        <v>712.49999999999989</v>
      </c>
      <c r="I104" s="51">
        <f t="shared" si="5"/>
        <v>1333.3333333333333</v>
      </c>
      <c r="J104" s="52"/>
      <c r="K104" s="52"/>
      <c r="L104" s="53"/>
      <c r="M104" s="54">
        <f t="shared" si="8"/>
        <v>5208.3333333333339</v>
      </c>
      <c r="N104" s="55">
        <f t="shared" si="9"/>
        <v>7629.166666666667</v>
      </c>
      <c r="O104" s="33" t="s">
        <v>54</v>
      </c>
      <c r="P104" s="84" t="s">
        <v>318</v>
      </c>
      <c r="Q104" s="92" t="s">
        <v>319</v>
      </c>
      <c r="R104" s="85"/>
      <c r="S104" s="122">
        <v>131111</v>
      </c>
    </row>
    <row r="105" spans="1:20" x14ac:dyDescent="0.2">
      <c r="A105" s="45">
        <v>101</v>
      </c>
      <c r="B105" s="84" t="s">
        <v>321</v>
      </c>
      <c r="C105" s="92" t="s">
        <v>322</v>
      </c>
      <c r="D105" s="76" t="s">
        <v>323</v>
      </c>
      <c r="E105" s="74">
        <v>2550</v>
      </c>
      <c r="F105" s="52">
        <f>E105/30*18</f>
        <v>1530</v>
      </c>
      <c r="G105" s="50">
        <f t="shared" si="6"/>
        <v>191.25</v>
      </c>
      <c r="H105" s="50">
        <f t="shared" si="7"/>
        <v>363.37499999999994</v>
      </c>
      <c r="I105" s="51">
        <f t="shared" si="5"/>
        <v>57.166666666666664</v>
      </c>
      <c r="J105" s="52"/>
      <c r="K105" s="52"/>
      <c r="L105" s="53"/>
      <c r="M105" s="54">
        <f t="shared" si="8"/>
        <v>1281.5833333333333</v>
      </c>
      <c r="N105" s="55">
        <f t="shared" si="9"/>
        <v>1893.375</v>
      </c>
      <c r="O105" s="33" t="s">
        <v>54</v>
      </c>
      <c r="P105" s="84" t="s">
        <v>321</v>
      </c>
      <c r="Q105" s="92" t="s">
        <v>322</v>
      </c>
      <c r="R105" s="85"/>
      <c r="S105" s="122">
        <v>318242</v>
      </c>
      <c r="T105" t="s">
        <v>324</v>
      </c>
    </row>
    <row r="106" spans="1:20" x14ac:dyDescent="0.2">
      <c r="A106" s="45">
        <v>102</v>
      </c>
      <c r="B106" s="84" t="s">
        <v>325</v>
      </c>
      <c r="C106" s="92" t="s">
        <v>326</v>
      </c>
      <c r="D106" s="76" t="s">
        <v>327</v>
      </c>
      <c r="E106" s="74">
        <v>1350</v>
      </c>
      <c r="F106" s="52">
        <f>E106/30*18</f>
        <v>810</v>
      </c>
      <c r="G106" s="50">
        <f t="shared" si="6"/>
        <v>101.25</v>
      </c>
      <c r="H106" s="50">
        <f t="shared" si="7"/>
        <v>192.37499999999997</v>
      </c>
      <c r="I106" s="51">
        <f t="shared" si="5"/>
        <v>3</v>
      </c>
      <c r="J106" s="52"/>
      <c r="K106" s="52"/>
      <c r="L106" s="53"/>
      <c r="M106" s="54">
        <f t="shared" si="8"/>
        <v>705.75</v>
      </c>
      <c r="N106" s="55">
        <f t="shared" si="9"/>
        <v>1002.375</v>
      </c>
      <c r="O106" s="33" t="s">
        <v>54</v>
      </c>
      <c r="P106" s="84" t="s">
        <v>325</v>
      </c>
      <c r="Q106" s="92" t="s">
        <v>326</v>
      </c>
      <c r="R106" s="85"/>
      <c r="S106" s="122">
        <v>323111</v>
      </c>
      <c r="T106" t="s">
        <v>240</v>
      </c>
    </row>
    <row r="107" spans="1:20" ht="15" thickBot="1" x14ac:dyDescent="0.25">
      <c r="A107" s="45">
        <v>103</v>
      </c>
      <c r="B107" s="84" t="s">
        <v>328</v>
      </c>
      <c r="C107" s="92" t="s">
        <v>329</v>
      </c>
      <c r="D107" s="76" t="s">
        <v>327</v>
      </c>
      <c r="E107" s="74">
        <v>1350</v>
      </c>
      <c r="F107" s="52">
        <f>E107/30*11</f>
        <v>495</v>
      </c>
      <c r="G107" s="50"/>
      <c r="H107" s="50"/>
      <c r="I107" s="51">
        <f t="shared" si="5"/>
        <v>0</v>
      </c>
      <c r="J107" s="52"/>
      <c r="K107" s="52"/>
      <c r="L107" s="53"/>
      <c r="M107" s="54">
        <f t="shared" si="8"/>
        <v>495</v>
      </c>
      <c r="N107" s="55">
        <f t="shared" si="9"/>
        <v>495</v>
      </c>
      <c r="O107" s="33" t="s">
        <v>54</v>
      </c>
      <c r="P107" s="84" t="s">
        <v>328</v>
      </c>
      <c r="Q107" s="92" t="s">
        <v>329</v>
      </c>
      <c r="R107" s="85"/>
      <c r="S107" s="122">
        <v>327111</v>
      </c>
      <c r="T107" t="s">
        <v>330</v>
      </c>
    </row>
    <row r="108" spans="1:20" x14ac:dyDescent="0.2">
      <c r="A108" s="63">
        <v>104</v>
      </c>
      <c r="B108" s="84" t="s">
        <v>331</v>
      </c>
      <c r="C108" s="92" t="s">
        <v>334</v>
      </c>
      <c r="D108" s="76" t="s">
        <v>333</v>
      </c>
      <c r="E108" s="74">
        <v>320</v>
      </c>
      <c r="F108" s="52">
        <f>E108/30*11</f>
        <v>117.33333333333333</v>
      </c>
      <c r="G108" s="50"/>
      <c r="H108" s="50"/>
      <c r="I108" s="51">
        <f t="shared" si="5"/>
        <v>0</v>
      </c>
      <c r="J108" s="52"/>
      <c r="K108" s="52"/>
      <c r="L108" s="53"/>
      <c r="M108" s="54">
        <f t="shared" si="8"/>
        <v>117.33333333333333</v>
      </c>
      <c r="N108" s="55">
        <f t="shared" si="9"/>
        <v>117.33333333333333</v>
      </c>
      <c r="O108" s="33" t="s">
        <v>54</v>
      </c>
      <c r="P108" s="84" t="s">
        <v>331</v>
      </c>
      <c r="Q108" s="92" t="s">
        <v>334</v>
      </c>
      <c r="R108" s="85"/>
      <c r="S108" s="122">
        <v>323111</v>
      </c>
      <c r="T108" t="s">
        <v>56</v>
      </c>
    </row>
    <row r="109" spans="1:20" x14ac:dyDescent="0.2">
      <c r="A109" s="71"/>
      <c r="B109" s="84"/>
      <c r="C109" s="92"/>
      <c r="D109" s="76"/>
      <c r="E109" s="74"/>
      <c r="F109" s="52"/>
      <c r="G109" s="50"/>
      <c r="H109" s="50"/>
      <c r="I109" s="51"/>
      <c r="J109" s="52"/>
      <c r="K109" s="52"/>
      <c r="L109" s="53"/>
      <c r="M109" s="137"/>
      <c r="N109" s="55"/>
      <c r="O109" s="33" t="s">
        <v>54</v>
      </c>
      <c r="S109"/>
    </row>
    <row r="110" spans="1:20" x14ac:dyDescent="0.2">
      <c r="A110" s="66"/>
      <c r="B110" s="66"/>
      <c r="C110" s="46"/>
      <c r="D110" s="46"/>
      <c r="E110" s="74"/>
      <c r="F110" s="52"/>
      <c r="G110" s="50"/>
      <c r="H110" s="50"/>
      <c r="I110" s="51"/>
      <c r="J110" s="52"/>
      <c r="K110" s="52"/>
      <c r="L110" s="53"/>
      <c r="M110" s="138"/>
      <c r="N110" s="55"/>
      <c r="S110"/>
    </row>
    <row r="111" spans="1:20" ht="15.75" x14ac:dyDescent="0.25">
      <c r="B111" s="91"/>
      <c r="D111">
        <f>30-12</f>
        <v>18</v>
      </c>
      <c r="E111" s="101">
        <f t="shared" ref="E111:N111" si="10">SUM(E5:E110)</f>
        <v>151939</v>
      </c>
      <c r="F111" s="101">
        <f t="shared" si="10"/>
        <v>148430.47311827957</v>
      </c>
      <c r="G111" s="101">
        <f t="shared" si="10"/>
        <v>11022.674999999999</v>
      </c>
      <c r="H111" s="101">
        <f t="shared" si="10"/>
        <v>20943.082499999997</v>
      </c>
      <c r="I111" s="101">
        <f t="shared" si="10"/>
        <v>6350.3016129032267</v>
      </c>
      <c r="J111" s="101">
        <f t="shared" si="10"/>
        <v>0</v>
      </c>
      <c r="K111" s="101">
        <f t="shared" si="10"/>
        <v>0</v>
      </c>
      <c r="L111" s="101">
        <f t="shared" si="10"/>
        <v>0</v>
      </c>
      <c r="M111" s="139">
        <f t="shared" si="10"/>
        <v>131057.49650537627</v>
      </c>
      <c r="N111" s="101">
        <f t="shared" si="10"/>
        <v>169373.55561827958</v>
      </c>
      <c r="S111"/>
    </row>
    <row r="112" spans="1:20" x14ac:dyDescent="0.2">
      <c r="B112" s="91"/>
      <c r="L112" s="102"/>
    </row>
    <row r="113" spans="2:19" ht="15" x14ac:dyDescent="0.25">
      <c r="B113" s="91"/>
      <c r="H113" s="3"/>
      <c r="I113" s="3"/>
      <c r="M113" s="103"/>
      <c r="N113" s="104"/>
    </row>
    <row r="114" spans="2:19" ht="15.75" x14ac:dyDescent="0.25">
      <c r="B114" s="91"/>
      <c r="C114" s="105" t="s">
        <v>393</v>
      </c>
      <c r="D114" s="106">
        <f>F111-D116</f>
        <v>141880.47311827957</v>
      </c>
      <c r="E114" s="107" t="s">
        <v>394</v>
      </c>
      <c r="F114" s="108">
        <v>521101</v>
      </c>
      <c r="G114" t="s">
        <v>59</v>
      </c>
      <c r="H114" s="109">
        <v>0.7</v>
      </c>
      <c r="I114" s="3">
        <v>651101</v>
      </c>
      <c r="J114" t="s">
        <v>395</v>
      </c>
      <c r="M114" s="103"/>
    </row>
    <row r="115" spans="2:19" ht="15" x14ac:dyDescent="0.25">
      <c r="B115" s="91"/>
      <c r="D115" s="106">
        <f>H111-D117</f>
        <v>20009.707499999997</v>
      </c>
      <c r="E115" s="107" t="s">
        <v>396</v>
      </c>
      <c r="F115" s="108">
        <v>521107</v>
      </c>
      <c r="G115" t="s">
        <v>59</v>
      </c>
      <c r="H115" s="110" t="s">
        <v>397</v>
      </c>
      <c r="I115" s="110" t="s">
        <v>398</v>
      </c>
      <c r="O115" s="3">
        <v>51111101</v>
      </c>
      <c r="S115" s="111">
        <v>51111107</v>
      </c>
    </row>
    <row r="116" spans="2:19" x14ac:dyDescent="0.2">
      <c r="B116" s="91"/>
      <c r="D116" s="107">
        <f>F25+F46+F51+F55+F82</f>
        <v>6550</v>
      </c>
      <c r="E116" s="107" t="s">
        <v>399</v>
      </c>
      <c r="F116" s="108">
        <v>621101</v>
      </c>
      <c r="G116" t="s">
        <v>400</v>
      </c>
      <c r="H116" s="146">
        <v>651102</v>
      </c>
      <c r="I116" s="113" t="s">
        <v>401</v>
      </c>
      <c r="J116" s="33"/>
      <c r="K116" s="33"/>
      <c r="L116">
        <v>51111101</v>
      </c>
      <c r="M116" s="62">
        <v>111111</v>
      </c>
      <c r="N116" t="s">
        <v>402</v>
      </c>
      <c r="O116" s="114">
        <v>2300</v>
      </c>
      <c r="P116" s="102"/>
      <c r="Q116" s="102"/>
      <c r="R116" s="102"/>
      <c r="S116" s="115">
        <v>327.75</v>
      </c>
    </row>
    <row r="117" spans="2:19" x14ac:dyDescent="0.2">
      <c r="D117" s="116">
        <f>H25+H46+H51+H55+H82</f>
        <v>933.375</v>
      </c>
      <c r="E117" s="107" t="s">
        <v>403</v>
      </c>
      <c r="F117" s="108">
        <v>621107</v>
      </c>
      <c r="G117" t="s">
        <v>400</v>
      </c>
      <c r="H117" s="110"/>
      <c r="I117" s="118"/>
      <c r="J117" s="118"/>
      <c r="K117" s="118"/>
      <c r="L117">
        <v>51111101</v>
      </c>
      <c r="M117" s="62">
        <v>122111</v>
      </c>
      <c r="N117" t="s">
        <v>402</v>
      </c>
      <c r="O117" s="114">
        <v>2500</v>
      </c>
      <c r="P117" s="102"/>
      <c r="Q117" s="102"/>
      <c r="R117" s="102"/>
      <c r="S117" s="115">
        <v>356.24999999999994</v>
      </c>
    </row>
    <row r="118" spans="2:19" x14ac:dyDescent="0.2">
      <c r="D118" s="116"/>
      <c r="E118" s="107" t="s">
        <v>404</v>
      </c>
      <c r="F118" s="108"/>
      <c r="H118" s="110"/>
      <c r="I118" s="118"/>
      <c r="J118" s="118"/>
      <c r="K118" s="118"/>
      <c r="L118">
        <v>51111101</v>
      </c>
      <c r="M118" s="62">
        <v>131111</v>
      </c>
      <c r="N118" t="s">
        <v>402</v>
      </c>
      <c r="O118" s="114">
        <v>8216.67</v>
      </c>
      <c r="P118" s="102"/>
      <c r="Q118" s="102"/>
      <c r="R118" s="102"/>
      <c r="S118" s="115">
        <v>897.75</v>
      </c>
    </row>
    <row r="119" spans="2:19" ht="28.5" x14ac:dyDescent="0.2">
      <c r="D119" s="119"/>
      <c r="E119" s="120" t="s">
        <v>405</v>
      </c>
      <c r="F119" s="108"/>
      <c r="G119" t="s">
        <v>59</v>
      </c>
      <c r="H119" s="118"/>
      <c r="I119" s="118"/>
      <c r="J119" s="118"/>
      <c r="L119">
        <v>51111101</v>
      </c>
      <c r="M119" s="62">
        <v>134311</v>
      </c>
      <c r="N119" t="s">
        <v>402</v>
      </c>
      <c r="O119" s="114">
        <v>450</v>
      </c>
      <c r="P119" s="102"/>
      <c r="Q119" s="102"/>
      <c r="R119" s="102"/>
      <c r="S119" s="115">
        <v>64.13</v>
      </c>
    </row>
    <row r="120" spans="2:19" x14ac:dyDescent="0.2">
      <c r="E120" s="121" t="s">
        <v>406</v>
      </c>
      <c r="G120" t="s">
        <v>59</v>
      </c>
      <c r="H120" s="118"/>
      <c r="I120" s="118"/>
      <c r="J120" s="118"/>
      <c r="L120">
        <v>51111101</v>
      </c>
      <c r="M120" s="62">
        <v>311311</v>
      </c>
      <c r="N120" t="s">
        <v>402</v>
      </c>
      <c r="O120" s="114">
        <v>815</v>
      </c>
      <c r="P120" s="102"/>
      <c r="Q120" s="102"/>
      <c r="R120" s="102"/>
      <c r="S120" s="115">
        <v>116.14</v>
      </c>
    </row>
    <row r="121" spans="2:19" x14ac:dyDescent="0.2">
      <c r="E121" s="121"/>
      <c r="G121" t="s">
        <v>59</v>
      </c>
      <c r="L121">
        <v>51111101</v>
      </c>
      <c r="M121" s="62">
        <v>323111</v>
      </c>
      <c r="N121" t="s">
        <v>402</v>
      </c>
      <c r="O121" s="114">
        <v>61006.33</v>
      </c>
      <c r="P121" s="102"/>
      <c r="Q121" s="102"/>
      <c r="R121" s="102"/>
      <c r="S121" s="115">
        <v>8753.6299999999992</v>
      </c>
    </row>
    <row r="122" spans="2:19" x14ac:dyDescent="0.2">
      <c r="D122" s="121"/>
      <c r="E122" s="121" t="s">
        <v>407</v>
      </c>
      <c r="F122">
        <v>522111</v>
      </c>
      <c r="G122" t="s">
        <v>59</v>
      </c>
      <c r="L122">
        <v>51111101</v>
      </c>
      <c r="M122" s="77">
        <v>122311</v>
      </c>
      <c r="N122" t="s">
        <v>402</v>
      </c>
      <c r="O122" s="114">
        <v>1350</v>
      </c>
      <c r="P122" s="102"/>
      <c r="Q122" s="102"/>
      <c r="R122" s="102"/>
      <c r="S122" s="115">
        <v>192.38</v>
      </c>
    </row>
    <row r="123" spans="2:19" x14ac:dyDescent="0.2">
      <c r="D123" s="104">
        <f>SUM(D113:D122)</f>
        <v>169373.55561827956</v>
      </c>
      <c r="L123">
        <v>51111101</v>
      </c>
      <c r="M123" s="62">
        <v>325311</v>
      </c>
      <c r="N123" t="s">
        <v>402</v>
      </c>
      <c r="O123" s="114">
        <v>18776</v>
      </c>
      <c r="P123" s="102"/>
      <c r="Q123" s="102"/>
      <c r="R123" s="102"/>
      <c r="S123" s="115">
        <v>2675.56</v>
      </c>
    </row>
    <row r="124" spans="2:19" x14ac:dyDescent="0.2">
      <c r="L124">
        <v>51111101</v>
      </c>
      <c r="M124" s="77">
        <v>326111</v>
      </c>
      <c r="N124" t="s">
        <v>402</v>
      </c>
      <c r="O124" s="114">
        <v>1490</v>
      </c>
      <c r="P124" s="102"/>
      <c r="Q124" s="102"/>
      <c r="R124" s="102"/>
      <c r="S124" s="115">
        <v>212.33</v>
      </c>
    </row>
    <row r="125" spans="2:19" x14ac:dyDescent="0.2">
      <c r="E125" s="106">
        <v>118164.74099999999</v>
      </c>
      <c r="F125" s="108" t="s">
        <v>408</v>
      </c>
      <c r="G125" s="108" t="s">
        <v>409</v>
      </c>
      <c r="I125" s="121">
        <f>E135-D123</f>
        <v>-12892.75550537635</v>
      </c>
      <c r="L125">
        <v>51111101</v>
      </c>
      <c r="M125" s="122">
        <v>327111</v>
      </c>
      <c r="N125" t="s">
        <v>402</v>
      </c>
      <c r="O125" s="114">
        <v>1631</v>
      </c>
      <c r="P125" s="102"/>
      <c r="Q125" s="102"/>
      <c r="R125" s="102"/>
      <c r="S125" s="115">
        <v>161.88</v>
      </c>
    </row>
    <row r="126" spans="2:19" x14ac:dyDescent="0.2">
      <c r="E126" s="106">
        <f>G111+H111</f>
        <v>31965.757499999996</v>
      </c>
      <c r="F126" s="108" t="s">
        <v>410</v>
      </c>
      <c r="G126" s="108">
        <v>214311</v>
      </c>
      <c r="L126">
        <v>51111101</v>
      </c>
      <c r="M126" s="62">
        <v>329111</v>
      </c>
      <c r="N126" t="s">
        <v>402</v>
      </c>
      <c r="O126" s="114">
        <v>38636.81</v>
      </c>
      <c r="P126" s="102"/>
      <c r="Q126" s="102"/>
      <c r="R126" s="102"/>
      <c r="S126" s="115">
        <v>5427.96</v>
      </c>
    </row>
    <row r="127" spans="2:19" x14ac:dyDescent="0.2">
      <c r="E127" s="106">
        <f>I111</f>
        <v>6350.3016129032267</v>
      </c>
      <c r="F127" s="108" t="s">
        <v>411</v>
      </c>
      <c r="G127" s="108">
        <v>214801</v>
      </c>
      <c r="L127">
        <v>51111101</v>
      </c>
      <c r="M127" s="62">
        <v>349311</v>
      </c>
      <c r="N127" t="s">
        <v>402</v>
      </c>
      <c r="O127" s="114">
        <v>3275</v>
      </c>
      <c r="P127" s="102"/>
      <c r="Q127" s="102"/>
      <c r="R127" s="102"/>
      <c r="S127" s="115">
        <v>466.69</v>
      </c>
    </row>
    <row r="128" spans="2:19" ht="15" x14ac:dyDescent="0.25">
      <c r="E128" s="123"/>
      <c r="L128">
        <v>51111101</v>
      </c>
      <c r="M128" s="122">
        <v>318223</v>
      </c>
      <c r="N128" t="s">
        <v>402</v>
      </c>
      <c r="O128" s="114">
        <v>1560</v>
      </c>
      <c r="P128" s="124"/>
      <c r="Q128" s="124"/>
      <c r="R128" s="124">
        <f t="shared" ref="R128" si="11">SUBTOTAL(9,R116:R127)</f>
        <v>0</v>
      </c>
      <c r="S128" s="115">
        <v>222.3</v>
      </c>
    </row>
    <row r="129" spans="5:21" ht="15" x14ac:dyDescent="0.25">
      <c r="E129" s="123"/>
      <c r="L129">
        <v>51111101</v>
      </c>
      <c r="M129" s="122">
        <v>325411</v>
      </c>
      <c r="N129" t="s">
        <v>402</v>
      </c>
      <c r="O129" s="114">
        <v>3619</v>
      </c>
      <c r="P129" s="124"/>
      <c r="Q129" s="124"/>
      <c r="R129" s="124"/>
      <c r="S129" s="115">
        <v>515.71</v>
      </c>
    </row>
    <row r="130" spans="5:21" ht="15" x14ac:dyDescent="0.25">
      <c r="E130" s="123"/>
      <c r="K130" s="125"/>
      <c r="L130">
        <v>51111101</v>
      </c>
      <c r="M130" s="62">
        <v>318242</v>
      </c>
      <c r="N130" t="s">
        <v>402</v>
      </c>
      <c r="O130" s="114">
        <v>1530</v>
      </c>
      <c r="P130" s="124"/>
      <c r="Q130" s="124"/>
      <c r="R130" s="124"/>
      <c r="S130" s="115">
        <v>363.38</v>
      </c>
    </row>
    <row r="131" spans="5:21" ht="15" x14ac:dyDescent="0.25">
      <c r="E131" s="123"/>
      <c r="L131">
        <v>51111101</v>
      </c>
      <c r="M131" s="62">
        <v>318531</v>
      </c>
      <c r="N131" t="s">
        <v>402</v>
      </c>
      <c r="O131" s="114">
        <v>266.67</v>
      </c>
      <c r="P131" s="124"/>
      <c r="Q131" s="124"/>
      <c r="R131" s="124"/>
      <c r="S131" s="115">
        <v>45.6</v>
      </c>
    </row>
    <row r="132" spans="5:21" ht="15" x14ac:dyDescent="0.25">
      <c r="E132" s="123"/>
      <c r="L132">
        <v>51111101</v>
      </c>
      <c r="M132" s="122">
        <v>322111</v>
      </c>
      <c r="N132" t="s">
        <v>402</v>
      </c>
      <c r="O132" s="114">
        <v>1008</v>
      </c>
      <c r="P132" s="124"/>
      <c r="Q132" s="124"/>
      <c r="R132" s="124"/>
      <c r="S132" s="115">
        <v>143.63999999999999</v>
      </c>
    </row>
    <row r="133" spans="5:21" ht="15" x14ac:dyDescent="0.25">
      <c r="E133" s="123"/>
      <c r="M133" s="122"/>
      <c r="O133" s="102"/>
      <c r="P133" s="124"/>
      <c r="Q133" s="124"/>
      <c r="R133" s="124"/>
      <c r="S133" s="115"/>
    </row>
    <row r="134" spans="5:21" ht="15" x14ac:dyDescent="0.25">
      <c r="E134" s="123"/>
      <c r="M134" s="122"/>
      <c r="O134" s="102"/>
      <c r="P134" s="124"/>
      <c r="Q134" s="124"/>
      <c r="R134" s="124"/>
      <c r="S134" s="115"/>
    </row>
    <row r="135" spans="5:21" ht="15" x14ac:dyDescent="0.25">
      <c r="E135" s="126">
        <f>SUM(E125:E128)</f>
        <v>156480.80011290321</v>
      </c>
      <c r="O135" s="124">
        <f>SUBTOTAL(9,O116:O134)</f>
        <v>148430.48000000001</v>
      </c>
      <c r="P135" s="124">
        <f>SUBTOTAL(9,P116:P128)</f>
        <v>0</v>
      </c>
      <c r="Q135" s="124">
        <f>SUBTOTAL(9,Q116:Q128)</f>
        <v>0</v>
      </c>
      <c r="R135" s="124">
        <f>SUBTOTAL(9,R116:R128)</f>
        <v>0</v>
      </c>
      <c r="S135" s="124">
        <f>SUM(S116:S133)</f>
        <v>20943.079999999994</v>
      </c>
      <c r="T135" s="124"/>
      <c r="U135" s="126"/>
    </row>
    <row r="137" spans="5:21" x14ac:dyDescent="0.2">
      <c r="K137" s="103">
        <f>M111</f>
        <v>131057.49650537627</v>
      </c>
      <c r="L137" s="127">
        <v>21141201</v>
      </c>
      <c r="N137" s="128" t="s">
        <v>412</v>
      </c>
    </row>
    <row r="138" spans="5:21" x14ac:dyDescent="0.2">
      <c r="K138" s="104">
        <f>G111+H111</f>
        <v>31965.757499999996</v>
      </c>
      <c r="L138" s="127">
        <v>21141204</v>
      </c>
      <c r="N138" s="128" t="s">
        <v>413</v>
      </c>
    </row>
    <row r="139" spans="5:21" ht="15" x14ac:dyDescent="0.25">
      <c r="K139" s="104">
        <f>I111</f>
        <v>6350.3016129032267</v>
      </c>
      <c r="L139" s="111">
        <v>21141304</v>
      </c>
      <c r="N139" s="128" t="s">
        <v>414</v>
      </c>
    </row>
    <row r="140" spans="5:21" ht="15" x14ac:dyDescent="0.25">
      <c r="S140" s="129">
        <f>SUM(S137:S139)</f>
        <v>0</v>
      </c>
    </row>
    <row r="141" spans="5:21" x14ac:dyDescent="0.2">
      <c r="S141" s="115">
        <f>O135+S135</f>
        <v>169373.56</v>
      </c>
    </row>
    <row r="142" spans="5:21" x14ac:dyDescent="0.2">
      <c r="K142" s="103">
        <f>K137+K138+K139</f>
        <v>169373.5556182795</v>
      </c>
    </row>
    <row r="143" spans="5:21" x14ac:dyDescent="0.2">
      <c r="M143" s="104">
        <f>S141-K142</f>
        <v>4.3817205005325377E-3</v>
      </c>
    </row>
  </sheetData>
  <autoFilter ref="B3:T109" xr:uid="{00000000-0001-0000-0100-000000000000}">
    <filterColumn colId="0" showButton="0"/>
    <filterColumn colId="1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</autoFilter>
  <mergeCells count="4">
    <mergeCell ref="B1:D2"/>
    <mergeCell ref="E1:E2"/>
    <mergeCell ref="B3:D3"/>
    <mergeCell ref="E3:M3"/>
  </mergeCells>
  <conditionalFormatting sqref="L137">
    <cfRule type="duplicateValues" dxfId="39" priority="10"/>
    <cfRule type="duplicateValues" dxfId="38" priority="11"/>
    <cfRule type="duplicateValues" dxfId="37" priority="12"/>
    <cfRule type="duplicateValues" dxfId="36" priority="13"/>
  </conditionalFormatting>
  <conditionalFormatting sqref="L138">
    <cfRule type="duplicateValues" dxfId="35" priority="5"/>
    <cfRule type="duplicateValues" dxfId="34" priority="6"/>
    <cfRule type="duplicateValues" dxfId="33" priority="7"/>
    <cfRule type="duplicateValues" dxfId="32" priority="8"/>
  </conditionalFormatting>
  <conditionalFormatting sqref="L139">
    <cfRule type="duplicateValues" dxfId="31" priority="2"/>
    <cfRule type="duplicateValues" dxfId="30" priority="3"/>
  </conditionalFormatting>
  <conditionalFormatting sqref="M124">
    <cfRule type="duplicateValues" dxfId="29" priority="18"/>
  </conditionalFormatting>
  <conditionalFormatting sqref="N137">
    <cfRule type="duplicateValues" dxfId="28" priority="9"/>
  </conditionalFormatting>
  <conditionalFormatting sqref="N138">
    <cfRule type="duplicateValues" dxfId="27" priority="4"/>
  </conditionalFormatting>
  <conditionalFormatting sqref="N139">
    <cfRule type="duplicateValues" dxfId="26" priority="1"/>
  </conditionalFormatting>
  <conditionalFormatting sqref="P5:P51">
    <cfRule type="duplicateValues" dxfId="25" priority="19"/>
  </conditionalFormatting>
  <conditionalFormatting sqref="S62:S78">
    <cfRule type="duplicateValues" dxfId="24" priority="20"/>
  </conditionalFormatting>
  <conditionalFormatting sqref="S115">
    <cfRule type="duplicateValues" dxfId="23" priority="14"/>
    <cfRule type="duplicateValues" dxfId="22" priority="15"/>
    <cfRule type="duplicateValues" dxfId="21" priority="16"/>
    <cfRule type="duplicateValues" dxfId="20" priority="17"/>
  </conditionalFormatting>
  <pageMargins left="0.7" right="0.7" top="0.75" bottom="0.75" header="0.3" footer="0.3"/>
  <pageSetup paperSize="9" scale="35" orientation="landscape" r:id="rId1"/>
  <headerFooter>
    <oddFooter>&amp;C_x000D_&amp;1#&amp;"Calibri"&amp;10&amp;KFFFF00 Ejada Internal Use Only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5A750-FBB9-4F87-B2C2-D3A00727CC03}">
  <sheetPr codeName="Sheet1">
    <pageSetUpPr fitToPage="1"/>
  </sheetPr>
  <dimension ref="A1:V135"/>
  <sheetViews>
    <sheetView topLeftCell="A33" zoomScaleNormal="100" workbookViewId="0">
      <selection activeCell="B91" sqref="B91:M91"/>
    </sheetView>
  </sheetViews>
  <sheetFormatPr defaultRowHeight="14.25" x14ac:dyDescent="0.2"/>
  <cols>
    <col min="1" max="1" width="5.375" style="33" customWidth="1"/>
    <col min="2" max="2" width="10.875" style="33" customWidth="1"/>
    <col min="3" max="3" width="42.625" bestFit="1" customWidth="1"/>
    <col min="4" max="4" width="31.5" customWidth="1"/>
    <col min="5" max="6" width="15.375" customWidth="1"/>
    <col min="7" max="8" width="14.5" customWidth="1"/>
    <col min="9" max="9" width="14.125" customWidth="1"/>
    <col min="10" max="10" width="12.125" customWidth="1"/>
    <col min="11" max="11" width="15" customWidth="1"/>
    <col min="12" max="12" width="14.125" customWidth="1"/>
    <col min="13" max="13" width="17.625" customWidth="1"/>
    <col min="14" max="14" width="21" customWidth="1"/>
    <col min="15" max="15" width="10.25" customWidth="1"/>
    <col min="16" max="16" width="8.75" customWidth="1"/>
    <col min="17" max="17" width="41.625" customWidth="1"/>
    <col min="18" max="18" width="1.375" customWidth="1"/>
    <col min="19" max="19" width="13.25" style="33" customWidth="1"/>
    <col min="20" max="20" width="48.5" bestFit="1" customWidth="1"/>
    <col min="21" max="21" width="12" bestFit="1" customWidth="1"/>
    <col min="23" max="23" width="8.875" customWidth="1"/>
  </cols>
  <sheetData>
    <row r="1" spans="1:20" x14ac:dyDescent="0.2">
      <c r="B1" s="198" t="s">
        <v>455</v>
      </c>
      <c r="C1" s="198"/>
      <c r="D1" s="198"/>
      <c r="E1" s="200">
        <v>45717</v>
      </c>
    </row>
    <row r="2" spans="1:20" ht="15" thickBot="1" x14ac:dyDescent="0.25">
      <c r="B2" s="199"/>
      <c r="C2" s="199"/>
      <c r="D2" s="199"/>
      <c r="E2" s="201"/>
    </row>
    <row r="3" spans="1:20" ht="18.75" thickBot="1" x14ac:dyDescent="0.25">
      <c r="B3" s="202" t="s">
        <v>32</v>
      </c>
      <c r="C3" s="203"/>
      <c r="D3" s="204"/>
      <c r="E3" s="203" t="s">
        <v>33</v>
      </c>
      <c r="F3" s="203"/>
      <c r="G3" s="203"/>
      <c r="H3" s="203"/>
      <c r="I3" s="203"/>
      <c r="J3" s="203"/>
      <c r="K3" s="203"/>
      <c r="L3" s="203"/>
      <c r="M3" s="204"/>
      <c r="N3" s="34" t="s">
        <v>34</v>
      </c>
      <c r="T3" s="33"/>
    </row>
    <row r="4" spans="1:20" ht="45" x14ac:dyDescent="0.2">
      <c r="A4" s="35" t="s">
        <v>35</v>
      </c>
      <c r="B4" s="35" t="s">
        <v>36</v>
      </c>
      <c r="C4" s="36" t="s">
        <v>37</v>
      </c>
      <c r="D4" s="37" t="s">
        <v>38</v>
      </c>
      <c r="E4" s="38" t="s">
        <v>13</v>
      </c>
      <c r="F4" s="39" t="s">
        <v>39</v>
      </c>
      <c r="G4" s="40" t="s">
        <v>40</v>
      </c>
      <c r="H4" s="40" t="s">
        <v>41</v>
      </c>
      <c r="I4" s="39" t="s">
        <v>23</v>
      </c>
      <c r="J4" s="39" t="s">
        <v>24</v>
      </c>
      <c r="K4" s="39" t="s">
        <v>42</v>
      </c>
      <c r="L4" s="39" t="s">
        <v>25</v>
      </c>
      <c r="M4" s="37" t="s">
        <v>43</v>
      </c>
      <c r="N4" s="41" t="s">
        <v>44</v>
      </c>
      <c r="O4" s="42" t="s">
        <v>45</v>
      </c>
      <c r="P4" s="43" t="s">
        <v>46</v>
      </c>
      <c r="Q4" s="43" t="s">
        <v>47</v>
      </c>
      <c r="R4" s="43" t="s">
        <v>48</v>
      </c>
      <c r="S4" s="43" t="s">
        <v>49</v>
      </c>
      <c r="T4" s="44" t="s">
        <v>50</v>
      </c>
    </row>
    <row r="5" spans="1:20" x14ac:dyDescent="0.2">
      <c r="A5" s="45">
        <v>1</v>
      </c>
      <c r="B5" s="45" t="s">
        <v>51</v>
      </c>
      <c r="C5" s="46" t="s">
        <v>52</v>
      </c>
      <c r="D5" s="47" t="s">
        <v>53</v>
      </c>
      <c r="E5" s="48">
        <v>745</v>
      </c>
      <c r="F5" s="49">
        <v>745</v>
      </c>
      <c r="G5" s="50">
        <f>E5*0.075</f>
        <v>55.875</v>
      </c>
      <c r="H5" s="50">
        <f>E5*0.1425</f>
        <v>106.16249999999999</v>
      </c>
      <c r="I5" s="51">
        <f>(IF((O5="No"),(IF((($F5*12)-9000)&lt;0,0,(IF((($F5*12)-9000)&gt;20000,(5000*5%+5000*10%+5000*15%+5000*20%+((($F5*12)-9000)-20000)*25%),IF((($F5*12)-9000)&gt;15000,(5000*5%+5000*10%+5000*15%+((($F5*12)-9000)-15000)*20%),IF((($F5*12)-9000)&gt;10000,(5000*5%+5000*10%+((($F5*12)-9000)-10000)*15%),IF((($F5*12)-9000)&gt;5000,(5000*5%+((($F5*12)-9000)-5000)*10%),IF((($F5*12)-9000)&lt;5000,(($F5*12)-9000)*5%)))))))),((IF((($F5*12)-18000)&lt;0,0,(IF((($F5*12)-18000)&gt;20000,(5000*5%+5000*10%+5000*15%+5000*20%+((($F5*12)-18000)-20000)*25%),IF((($F5*12)-18000)&gt;15000,(5000*5%+5000*10%+5000*15%+((($F5*12)-18000)-15000)*20%),IF((($F5*12)-18000)&gt;10000,(5000*5%+5000*10%+((($F5*12)-18000)-10000)*15%),IF((($F5*12)-18000)&gt;5000,(5000*5%+((($F5*12)-18000)-5000)*10%),IF((($F5*12)-18000)&lt;5000,(($F5*12)-18000)*5%))))))))))/12)</f>
        <v>0</v>
      </c>
      <c r="J5" s="52"/>
      <c r="K5" s="52">
        <v>0</v>
      </c>
      <c r="L5" s="53"/>
      <c r="M5" s="54">
        <f>(F5+K5)-SUM(G5,I5,J5,L5)</f>
        <v>689.125</v>
      </c>
      <c r="N5" s="55">
        <f>F5+H5</f>
        <v>851.16250000000002</v>
      </c>
      <c r="O5" s="33" t="s">
        <v>54</v>
      </c>
      <c r="P5" s="56" t="s">
        <v>51</v>
      </c>
      <c r="Q5" s="56" t="s">
        <v>52</v>
      </c>
      <c r="R5" s="140" t="s">
        <v>55</v>
      </c>
      <c r="S5" s="90">
        <v>329111</v>
      </c>
      <c r="T5" s="60" t="s">
        <v>56</v>
      </c>
    </row>
    <row r="6" spans="1:20" x14ac:dyDescent="0.2">
      <c r="A6" s="45">
        <v>2</v>
      </c>
      <c r="B6" s="45" t="s">
        <v>57</v>
      </c>
      <c r="C6" s="46" t="s">
        <v>58</v>
      </c>
      <c r="D6" s="59" t="s">
        <v>53</v>
      </c>
      <c r="E6" s="48">
        <v>1583</v>
      </c>
      <c r="F6" s="49">
        <v>1583</v>
      </c>
      <c r="G6" s="50">
        <f t="shared" ref="G6:G69" si="0">E6*0.075</f>
        <v>118.72499999999999</v>
      </c>
      <c r="H6" s="50">
        <f t="shared" ref="H6:H69" si="1">E6*0.1425</f>
        <v>225.57749999999999</v>
      </c>
      <c r="I6" s="51">
        <f t="shared" ref="I6:I50" si="2">(IF((O6="No"),(IF((($F6*12)-9000)&lt;0,0,(IF((($F6*12)-9000)&gt;20000,(5000*5%+5000*10%+5000*15%+5000*20%+((($F6*12)-9000)-20000)*25%),IF((($F6*12)-9000)&gt;15000,(5000*5%+5000*10%+5000*15%+((($F6*12)-9000)-15000)*20%),IF((($F6*12)-9000)&gt;10000,(5000*5%+5000*10%+((($F6*12)-9000)-10000)*15%),IF((($F6*12)-9000)&gt;5000,(5000*5%+((($F6*12)-9000)-5000)*10%),IF((($F6*12)-9000)&lt;5000,(($F6*12)-9000)*5%)))))))),((IF((($F6*12)-18000)&lt;0,0,(IF((($F6*12)-18000)&gt;20000,(5000*5%+5000*10%+5000*15%+5000*20%+((($F6*12)-18000)-20000)*25%),IF((($F6*12)-18000)&gt;15000,(5000*5%+5000*10%+5000*15%+((($F6*12)-18000)-15000)*20%),IF((($F6*12)-18000)&gt;10000,(5000*5%+5000*10%+((($F6*12)-18000)-10000)*15%),IF((($F6*12)-18000)&gt;5000,(5000*5%+((($F6*12)-18000)-5000)*10%),IF((($F6*12)-18000)&lt;5000,(($F6*12)-18000)*5%))))))))))/12)</f>
        <v>62.466666666666669</v>
      </c>
      <c r="J6" s="52"/>
      <c r="K6" s="52">
        <v>0</v>
      </c>
      <c r="L6" s="53"/>
      <c r="M6" s="54">
        <f t="shared" ref="M6:M69" si="3">(F6+K6)-SUM(G6,I6,J6,L6)</f>
        <v>1401.8083333333334</v>
      </c>
      <c r="N6" s="55">
        <f t="shared" ref="N6:N69" si="4">F6+H6</f>
        <v>1808.5774999999999</v>
      </c>
      <c r="O6" s="33" t="s">
        <v>54</v>
      </c>
      <c r="P6" s="60" t="s">
        <v>57</v>
      </c>
      <c r="Q6" s="60" t="s">
        <v>58</v>
      </c>
      <c r="R6" s="141" t="s">
        <v>59</v>
      </c>
      <c r="S6" s="62">
        <v>329111</v>
      </c>
      <c r="T6" s="60" t="s">
        <v>56</v>
      </c>
    </row>
    <row r="7" spans="1:20" ht="15" thickBot="1" x14ac:dyDescent="0.25">
      <c r="A7" s="45">
        <v>3</v>
      </c>
      <c r="B7" s="45" t="s">
        <v>60</v>
      </c>
      <c r="C7" s="46" t="s">
        <v>61</v>
      </c>
      <c r="D7" s="47" t="s">
        <v>62</v>
      </c>
      <c r="E7" s="48">
        <v>2755</v>
      </c>
      <c r="F7" s="49">
        <v>2755</v>
      </c>
      <c r="G7" s="50">
        <f t="shared" si="0"/>
        <v>206.625</v>
      </c>
      <c r="H7" s="50">
        <f t="shared" si="1"/>
        <v>392.58749999999998</v>
      </c>
      <c r="I7" s="51">
        <f t="shared" si="2"/>
        <v>292.91666666666669</v>
      </c>
      <c r="J7" s="52"/>
      <c r="K7" s="52">
        <v>0</v>
      </c>
      <c r="L7" s="53"/>
      <c r="M7" s="54">
        <f t="shared" si="3"/>
        <v>2255.4583333333335</v>
      </c>
      <c r="N7" s="55">
        <f t="shared" si="4"/>
        <v>3147.5875000000001</v>
      </c>
      <c r="O7" s="33" t="s">
        <v>54</v>
      </c>
      <c r="P7" s="60" t="s">
        <v>60</v>
      </c>
      <c r="Q7" s="60" t="s">
        <v>61</v>
      </c>
      <c r="R7" s="141" t="s">
        <v>59</v>
      </c>
      <c r="S7" s="62">
        <v>323111</v>
      </c>
      <c r="T7" s="60" t="s">
        <v>56</v>
      </c>
    </row>
    <row r="8" spans="1:20" x14ac:dyDescent="0.2">
      <c r="A8" s="63">
        <v>4</v>
      </c>
      <c r="B8" s="45" t="s">
        <v>63</v>
      </c>
      <c r="C8" s="46" t="s">
        <v>64</v>
      </c>
      <c r="D8" s="47" t="s">
        <v>65</v>
      </c>
      <c r="E8" s="48">
        <v>900</v>
      </c>
      <c r="F8" s="49">
        <v>900</v>
      </c>
      <c r="G8" s="50">
        <f t="shared" si="0"/>
        <v>67.5</v>
      </c>
      <c r="H8" s="50">
        <f t="shared" si="1"/>
        <v>128.25</v>
      </c>
      <c r="I8" s="51">
        <f t="shared" si="2"/>
        <v>7.5</v>
      </c>
      <c r="J8" s="52"/>
      <c r="K8" s="52">
        <v>0</v>
      </c>
      <c r="L8" s="53"/>
      <c r="M8" s="54">
        <f t="shared" si="3"/>
        <v>825</v>
      </c>
      <c r="N8" s="55">
        <f t="shared" si="4"/>
        <v>1028.25</v>
      </c>
      <c r="O8" s="33" t="s">
        <v>54</v>
      </c>
      <c r="P8" s="60" t="s">
        <v>63</v>
      </c>
      <c r="Q8" s="60" t="s">
        <v>64</v>
      </c>
      <c r="R8" s="141" t="s">
        <v>59</v>
      </c>
      <c r="S8" s="62">
        <v>323111</v>
      </c>
      <c r="T8" s="60" t="s">
        <v>56</v>
      </c>
    </row>
    <row r="9" spans="1:20" x14ac:dyDescent="0.2">
      <c r="A9" s="45">
        <v>5</v>
      </c>
      <c r="B9" s="45" t="s">
        <v>66</v>
      </c>
      <c r="C9" s="46" t="s">
        <v>67</v>
      </c>
      <c r="D9" s="47" t="s">
        <v>68</v>
      </c>
      <c r="E9" s="48">
        <v>2428</v>
      </c>
      <c r="F9" s="49">
        <v>2428</v>
      </c>
      <c r="G9" s="50">
        <f t="shared" si="0"/>
        <v>182.1</v>
      </c>
      <c r="H9" s="50">
        <f t="shared" si="1"/>
        <v>345.98999999999995</v>
      </c>
      <c r="I9" s="51">
        <f t="shared" si="2"/>
        <v>76.7</v>
      </c>
      <c r="J9" s="52"/>
      <c r="K9" s="52">
        <v>0</v>
      </c>
      <c r="L9" s="53"/>
      <c r="M9" s="54">
        <f t="shared" si="3"/>
        <v>2169.1999999999998</v>
      </c>
      <c r="N9" s="55">
        <f t="shared" si="4"/>
        <v>2773.99</v>
      </c>
      <c r="O9" s="33" t="s">
        <v>69</v>
      </c>
      <c r="P9" s="60" t="s">
        <v>66</v>
      </c>
      <c r="Q9" s="60" t="s">
        <v>67</v>
      </c>
      <c r="R9" s="141" t="s">
        <v>59</v>
      </c>
      <c r="S9" s="62">
        <v>329111</v>
      </c>
      <c r="T9" s="60" t="s">
        <v>56</v>
      </c>
    </row>
    <row r="10" spans="1:20" x14ac:dyDescent="0.2">
      <c r="A10" s="45">
        <v>6</v>
      </c>
      <c r="B10" s="45" t="s">
        <v>70</v>
      </c>
      <c r="C10" s="46" t="s">
        <v>71</v>
      </c>
      <c r="D10" s="47" t="s">
        <v>65</v>
      </c>
      <c r="E10" s="48">
        <v>1165</v>
      </c>
      <c r="F10" s="49">
        <v>1165</v>
      </c>
      <c r="G10" s="50">
        <f t="shared" si="0"/>
        <v>87.375</v>
      </c>
      <c r="H10" s="50">
        <f t="shared" si="1"/>
        <v>166.01249999999999</v>
      </c>
      <c r="I10" s="51">
        <f t="shared" si="2"/>
        <v>20.75</v>
      </c>
      <c r="J10" s="52"/>
      <c r="K10" s="52">
        <v>0</v>
      </c>
      <c r="L10" s="53"/>
      <c r="M10" s="54">
        <f t="shared" si="3"/>
        <v>1056.875</v>
      </c>
      <c r="N10" s="55">
        <f t="shared" si="4"/>
        <v>1331.0125</v>
      </c>
      <c r="O10" s="33" t="s">
        <v>54</v>
      </c>
      <c r="P10" s="60" t="s">
        <v>70</v>
      </c>
      <c r="Q10" s="60" t="s">
        <v>71</v>
      </c>
      <c r="R10" s="141" t="s">
        <v>59</v>
      </c>
      <c r="S10" s="62">
        <v>323111</v>
      </c>
      <c r="T10" s="60" t="s">
        <v>56</v>
      </c>
    </row>
    <row r="11" spans="1:20" x14ac:dyDescent="0.2">
      <c r="A11" s="45">
        <v>7</v>
      </c>
      <c r="B11" s="45" t="s">
        <v>72</v>
      </c>
      <c r="C11" s="46" t="s">
        <v>73</v>
      </c>
      <c r="D11" s="47" t="s">
        <v>74</v>
      </c>
      <c r="E11" s="48">
        <v>2540</v>
      </c>
      <c r="F11" s="49">
        <v>2540</v>
      </c>
      <c r="G11" s="50">
        <f t="shared" si="0"/>
        <v>190.5</v>
      </c>
      <c r="H11" s="50">
        <f t="shared" si="1"/>
        <v>361.95</v>
      </c>
      <c r="I11" s="51">
        <f t="shared" si="2"/>
        <v>93.5</v>
      </c>
      <c r="J11" s="52"/>
      <c r="K11" s="52">
        <v>0</v>
      </c>
      <c r="L11" s="53"/>
      <c r="M11" s="54">
        <f t="shared" si="3"/>
        <v>2256</v>
      </c>
      <c r="N11" s="55">
        <f t="shared" si="4"/>
        <v>2901.95</v>
      </c>
      <c r="O11" s="33" t="s">
        <v>69</v>
      </c>
      <c r="P11" s="60" t="s">
        <v>72</v>
      </c>
      <c r="Q11" s="60" t="s">
        <v>73</v>
      </c>
      <c r="R11" s="141" t="s">
        <v>59</v>
      </c>
      <c r="S11" s="62">
        <v>323111</v>
      </c>
      <c r="T11" s="60" t="s">
        <v>56</v>
      </c>
    </row>
    <row r="12" spans="1:20" x14ac:dyDescent="0.2">
      <c r="A12" s="45">
        <v>8</v>
      </c>
      <c r="B12" s="64" t="s">
        <v>75</v>
      </c>
      <c r="C12" s="46" t="s">
        <v>76</v>
      </c>
      <c r="D12" s="47" t="s">
        <v>77</v>
      </c>
      <c r="E12" s="65">
        <v>2273</v>
      </c>
      <c r="F12" s="50">
        <v>2273</v>
      </c>
      <c r="G12" s="50">
        <f t="shared" si="0"/>
        <v>170.47499999999999</v>
      </c>
      <c r="H12" s="50">
        <f t="shared" si="1"/>
        <v>323.90249999999997</v>
      </c>
      <c r="I12" s="51">
        <f t="shared" si="2"/>
        <v>56.466666666666669</v>
      </c>
      <c r="J12" s="52"/>
      <c r="K12" s="52">
        <v>0</v>
      </c>
      <c r="L12" s="53"/>
      <c r="M12" s="54">
        <f t="shared" si="3"/>
        <v>2046.0583333333334</v>
      </c>
      <c r="N12" s="55">
        <f t="shared" si="4"/>
        <v>2596.9025000000001</v>
      </c>
      <c r="O12" s="33" t="s">
        <v>69</v>
      </c>
      <c r="P12" s="60" t="s">
        <v>75</v>
      </c>
      <c r="Q12" s="60" t="s">
        <v>76</v>
      </c>
      <c r="R12" s="141" t="s">
        <v>59</v>
      </c>
      <c r="S12" s="62">
        <v>323111</v>
      </c>
      <c r="T12" s="60" t="s">
        <v>56</v>
      </c>
    </row>
    <row r="13" spans="1:20" ht="15" thickBot="1" x14ac:dyDescent="0.25">
      <c r="A13" s="45">
        <v>9</v>
      </c>
      <c r="B13" s="64" t="s">
        <v>450</v>
      </c>
      <c r="C13" s="144" t="s">
        <v>451</v>
      </c>
      <c r="D13" s="59" t="s">
        <v>85</v>
      </c>
      <c r="E13" s="48">
        <v>1022</v>
      </c>
      <c r="F13" s="49">
        <v>1022</v>
      </c>
      <c r="G13" s="50">
        <f t="shared" si="0"/>
        <v>76.649999999999991</v>
      </c>
      <c r="H13" s="50">
        <f t="shared" si="1"/>
        <v>145.63499999999999</v>
      </c>
      <c r="I13" s="51">
        <f t="shared" si="2"/>
        <v>13.600000000000001</v>
      </c>
      <c r="J13" s="52"/>
      <c r="K13" s="52">
        <v>0</v>
      </c>
      <c r="L13" s="53"/>
      <c r="M13" s="54">
        <f t="shared" si="3"/>
        <v>931.75</v>
      </c>
      <c r="N13" s="55">
        <f t="shared" si="4"/>
        <v>1167.635</v>
      </c>
      <c r="O13" s="33" t="s">
        <v>54</v>
      </c>
      <c r="P13" s="60" t="s">
        <v>450</v>
      </c>
      <c r="Q13" s="60" t="s">
        <v>451</v>
      </c>
      <c r="R13" s="141" t="s">
        <v>59</v>
      </c>
      <c r="S13" s="62">
        <v>323111</v>
      </c>
      <c r="T13" s="60" t="s">
        <v>56</v>
      </c>
    </row>
    <row r="14" spans="1:20" x14ac:dyDescent="0.2">
      <c r="A14" s="63">
        <v>10</v>
      </c>
      <c r="B14" s="66" t="s">
        <v>78</v>
      </c>
      <c r="C14" s="46" t="s">
        <v>79</v>
      </c>
      <c r="D14" s="67" t="s">
        <v>74</v>
      </c>
      <c r="E14" s="68">
        <v>2350</v>
      </c>
      <c r="F14" s="52">
        <v>2350</v>
      </c>
      <c r="G14" s="50">
        <f t="shared" si="0"/>
        <v>176.25</v>
      </c>
      <c r="H14" s="50">
        <f t="shared" si="1"/>
        <v>334.87499999999994</v>
      </c>
      <c r="I14" s="51">
        <f t="shared" si="2"/>
        <v>195</v>
      </c>
      <c r="J14" s="52"/>
      <c r="K14" s="52">
        <v>0</v>
      </c>
      <c r="L14" s="53"/>
      <c r="M14" s="54">
        <f t="shared" si="3"/>
        <v>1978.75</v>
      </c>
      <c r="N14" s="55">
        <f t="shared" si="4"/>
        <v>2684.875</v>
      </c>
      <c r="O14" s="33" t="s">
        <v>54</v>
      </c>
      <c r="P14" s="60" t="s">
        <v>78</v>
      </c>
      <c r="Q14" s="60" t="s">
        <v>79</v>
      </c>
      <c r="R14" s="141" t="s">
        <v>59</v>
      </c>
      <c r="S14" s="62">
        <v>323111</v>
      </c>
      <c r="T14" s="60" t="s">
        <v>56</v>
      </c>
    </row>
    <row r="15" spans="1:20" x14ac:dyDescent="0.2">
      <c r="A15" s="45">
        <v>11</v>
      </c>
      <c r="B15" s="66" t="s">
        <v>80</v>
      </c>
      <c r="C15" s="46" t="s">
        <v>81</v>
      </c>
      <c r="D15" s="67" t="s">
        <v>82</v>
      </c>
      <c r="E15" s="68">
        <v>710</v>
      </c>
      <c r="F15" s="52">
        <v>710</v>
      </c>
      <c r="G15" s="50">
        <f t="shared" si="0"/>
        <v>53.25</v>
      </c>
      <c r="H15" s="50">
        <f t="shared" si="1"/>
        <v>101.175</v>
      </c>
      <c r="I15" s="51">
        <f t="shared" si="2"/>
        <v>0</v>
      </c>
      <c r="J15" s="52"/>
      <c r="K15" s="52">
        <v>0</v>
      </c>
      <c r="L15" s="53"/>
      <c r="M15" s="54">
        <f t="shared" si="3"/>
        <v>656.75</v>
      </c>
      <c r="N15" s="55">
        <f t="shared" si="4"/>
        <v>811.17499999999995</v>
      </c>
      <c r="O15" s="33" t="s">
        <v>54</v>
      </c>
      <c r="P15" s="60" t="s">
        <v>80</v>
      </c>
      <c r="Q15" s="60" t="s">
        <v>81</v>
      </c>
      <c r="R15" s="141" t="s">
        <v>59</v>
      </c>
      <c r="S15" s="62">
        <v>329111</v>
      </c>
      <c r="T15" s="60" t="s">
        <v>56</v>
      </c>
    </row>
    <row r="16" spans="1:20" x14ac:dyDescent="0.2">
      <c r="A16" s="45">
        <v>12</v>
      </c>
      <c r="B16" s="66" t="s">
        <v>83</v>
      </c>
      <c r="C16" s="46" t="s">
        <v>84</v>
      </c>
      <c r="D16" s="67" t="s">
        <v>85</v>
      </c>
      <c r="E16" s="68">
        <v>1535</v>
      </c>
      <c r="F16" s="52">
        <v>1535</v>
      </c>
      <c r="G16" s="50">
        <f t="shared" si="0"/>
        <v>115.125</v>
      </c>
      <c r="H16" s="50">
        <f t="shared" si="1"/>
        <v>218.73749999999998</v>
      </c>
      <c r="I16" s="51">
        <f t="shared" si="2"/>
        <v>57.666666666666664</v>
      </c>
      <c r="J16" s="52"/>
      <c r="K16" s="52">
        <v>0</v>
      </c>
      <c r="L16" s="53"/>
      <c r="M16" s="54">
        <f t="shared" si="3"/>
        <v>1362.2083333333333</v>
      </c>
      <c r="N16" s="55">
        <f t="shared" si="4"/>
        <v>1753.7375</v>
      </c>
      <c r="O16" s="33" t="s">
        <v>54</v>
      </c>
      <c r="P16" s="60" t="s">
        <v>83</v>
      </c>
      <c r="Q16" s="60" t="s">
        <v>84</v>
      </c>
      <c r="R16" s="141" t="s">
        <v>55</v>
      </c>
      <c r="S16" s="62">
        <v>323111</v>
      </c>
      <c r="T16" s="60" t="s">
        <v>56</v>
      </c>
    </row>
    <row r="17" spans="1:20" x14ac:dyDescent="0.2">
      <c r="A17" s="45">
        <v>13</v>
      </c>
      <c r="B17" s="66" t="s">
        <v>86</v>
      </c>
      <c r="C17" s="46" t="s">
        <v>87</v>
      </c>
      <c r="D17" s="67" t="s">
        <v>65</v>
      </c>
      <c r="E17" s="69">
        <v>1235</v>
      </c>
      <c r="F17" s="49">
        <v>1235</v>
      </c>
      <c r="G17" s="50">
        <f t="shared" si="0"/>
        <v>92.625</v>
      </c>
      <c r="H17" s="50">
        <f t="shared" si="1"/>
        <v>175.98749999999998</v>
      </c>
      <c r="I17" s="51">
        <f t="shared" si="2"/>
        <v>27.666666666666668</v>
      </c>
      <c r="J17" s="52"/>
      <c r="K17" s="52">
        <v>0</v>
      </c>
      <c r="L17" s="53"/>
      <c r="M17" s="54">
        <f t="shared" si="3"/>
        <v>1114.7083333333333</v>
      </c>
      <c r="N17" s="55">
        <f t="shared" si="4"/>
        <v>1410.9875</v>
      </c>
      <c r="O17" s="33" t="s">
        <v>54</v>
      </c>
      <c r="P17" s="60" t="s">
        <v>86</v>
      </c>
      <c r="Q17" s="60" t="s">
        <v>87</v>
      </c>
      <c r="R17" s="141" t="s">
        <v>55</v>
      </c>
      <c r="S17" s="62">
        <v>323111</v>
      </c>
      <c r="T17" s="60" t="s">
        <v>56</v>
      </c>
    </row>
    <row r="18" spans="1:20" x14ac:dyDescent="0.2">
      <c r="A18" s="45">
        <v>14</v>
      </c>
      <c r="B18" s="66" t="s">
        <v>88</v>
      </c>
      <c r="C18" s="46" t="s">
        <v>89</v>
      </c>
      <c r="D18" s="67" t="s">
        <v>82</v>
      </c>
      <c r="E18" s="69">
        <v>1000</v>
      </c>
      <c r="F18" s="49">
        <v>1000</v>
      </c>
      <c r="G18" s="50">
        <f t="shared" si="0"/>
        <v>75</v>
      </c>
      <c r="H18" s="50">
        <f t="shared" si="1"/>
        <v>142.5</v>
      </c>
      <c r="I18" s="51">
        <f t="shared" si="2"/>
        <v>12.5</v>
      </c>
      <c r="J18" s="52"/>
      <c r="K18" s="52">
        <v>0</v>
      </c>
      <c r="L18" s="53"/>
      <c r="M18" s="54">
        <f t="shared" si="3"/>
        <v>912.5</v>
      </c>
      <c r="N18" s="55">
        <f t="shared" si="4"/>
        <v>1142.5</v>
      </c>
      <c r="O18" s="33" t="s">
        <v>54</v>
      </c>
      <c r="P18" s="60" t="s">
        <v>88</v>
      </c>
      <c r="Q18" s="60" t="s">
        <v>89</v>
      </c>
      <c r="R18" s="141" t="s">
        <v>55</v>
      </c>
      <c r="S18" s="62">
        <v>329111</v>
      </c>
      <c r="T18" s="60" t="s">
        <v>56</v>
      </c>
    </row>
    <row r="19" spans="1:20" ht="15" thickBot="1" x14ac:dyDescent="0.25">
      <c r="A19" s="45">
        <v>15</v>
      </c>
      <c r="B19" s="45" t="s">
        <v>90</v>
      </c>
      <c r="C19" s="46" t="s">
        <v>91</v>
      </c>
      <c r="D19" s="70" t="s">
        <v>53</v>
      </c>
      <c r="E19" s="69">
        <v>1470</v>
      </c>
      <c r="F19" s="49">
        <v>1470</v>
      </c>
      <c r="G19" s="50">
        <f t="shared" si="0"/>
        <v>110.25</v>
      </c>
      <c r="H19" s="50">
        <f t="shared" si="1"/>
        <v>209.47499999999999</v>
      </c>
      <c r="I19" s="51">
        <f t="shared" si="2"/>
        <v>51.166666666666664</v>
      </c>
      <c r="J19" s="52"/>
      <c r="K19" s="52">
        <v>0</v>
      </c>
      <c r="L19" s="53"/>
      <c r="M19" s="54">
        <f t="shared" si="3"/>
        <v>1308.5833333333333</v>
      </c>
      <c r="N19" s="55">
        <f t="shared" si="4"/>
        <v>1679.4749999999999</v>
      </c>
      <c r="O19" s="33" t="s">
        <v>54</v>
      </c>
      <c r="P19" s="60" t="s">
        <v>90</v>
      </c>
      <c r="Q19" s="60" t="s">
        <v>91</v>
      </c>
      <c r="R19" s="141" t="s">
        <v>55</v>
      </c>
      <c r="S19" s="62">
        <v>329111</v>
      </c>
      <c r="T19" s="60" t="s">
        <v>56</v>
      </c>
    </row>
    <row r="20" spans="1:20" x14ac:dyDescent="0.2">
      <c r="A20" s="63">
        <v>16</v>
      </c>
      <c r="B20" s="45" t="s">
        <v>92</v>
      </c>
      <c r="C20" s="46" t="s">
        <v>93</v>
      </c>
      <c r="D20" s="70" t="s">
        <v>94</v>
      </c>
      <c r="E20" s="69">
        <v>2840</v>
      </c>
      <c r="F20" s="49">
        <v>2840</v>
      </c>
      <c r="G20" s="50">
        <f t="shared" si="0"/>
        <v>213</v>
      </c>
      <c r="H20" s="50">
        <f t="shared" si="1"/>
        <v>404.7</v>
      </c>
      <c r="I20" s="51">
        <f t="shared" si="2"/>
        <v>143</v>
      </c>
      <c r="J20" s="52"/>
      <c r="K20" s="52">
        <v>0</v>
      </c>
      <c r="L20" s="53"/>
      <c r="M20" s="54">
        <f t="shared" si="3"/>
        <v>2484</v>
      </c>
      <c r="N20" s="55">
        <f t="shared" si="4"/>
        <v>3244.7</v>
      </c>
      <c r="O20" s="33" t="s">
        <v>69</v>
      </c>
      <c r="P20" s="60" t="s">
        <v>92</v>
      </c>
      <c r="Q20" s="60" t="s">
        <v>93</v>
      </c>
      <c r="R20" s="141" t="s">
        <v>55</v>
      </c>
      <c r="S20" s="62">
        <v>329111</v>
      </c>
      <c r="T20" s="60" t="s">
        <v>56</v>
      </c>
    </row>
    <row r="21" spans="1:20" x14ac:dyDescent="0.2">
      <c r="A21" s="45">
        <v>17</v>
      </c>
      <c r="B21" s="45" t="s">
        <v>95</v>
      </c>
      <c r="C21" s="46" t="s">
        <v>96</v>
      </c>
      <c r="D21" s="70" t="s">
        <v>97</v>
      </c>
      <c r="E21" s="68">
        <v>925</v>
      </c>
      <c r="F21" s="52">
        <v>925</v>
      </c>
      <c r="G21" s="50">
        <f t="shared" si="0"/>
        <v>69.375</v>
      </c>
      <c r="H21" s="50">
        <f t="shared" si="1"/>
        <v>131.8125</v>
      </c>
      <c r="I21" s="51">
        <f t="shared" si="2"/>
        <v>8.75</v>
      </c>
      <c r="J21" s="52"/>
      <c r="K21" s="52">
        <v>0</v>
      </c>
      <c r="L21" s="53"/>
      <c r="M21" s="54">
        <f t="shared" si="3"/>
        <v>846.875</v>
      </c>
      <c r="N21" s="55">
        <f t="shared" si="4"/>
        <v>1056.8125</v>
      </c>
      <c r="O21" s="33" t="s">
        <v>54</v>
      </c>
      <c r="P21" s="60" t="s">
        <v>95</v>
      </c>
      <c r="Q21" s="60" t="s">
        <v>96</v>
      </c>
      <c r="R21" s="141" t="s">
        <v>59</v>
      </c>
      <c r="S21" s="62">
        <v>323111</v>
      </c>
      <c r="T21" s="60" t="s">
        <v>56</v>
      </c>
    </row>
    <row r="22" spans="1:20" x14ac:dyDescent="0.2">
      <c r="A22" s="45">
        <v>18</v>
      </c>
      <c r="B22" s="45" t="s">
        <v>98</v>
      </c>
      <c r="C22" s="46" t="s">
        <v>99</v>
      </c>
      <c r="D22" s="70" t="s">
        <v>100</v>
      </c>
      <c r="E22" s="68">
        <v>1675</v>
      </c>
      <c r="F22" s="52">
        <v>1675</v>
      </c>
      <c r="G22" s="50">
        <f t="shared" si="0"/>
        <v>125.625</v>
      </c>
      <c r="H22" s="50">
        <f t="shared" si="1"/>
        <v>238.68749999999997</v>
      </c>
      <c r="I22" s="51">
        <f t="shared" si="2"/>
        <v>8.75</v>
      </c>
      <c r="J22" s="52"/>
      <c r="K22" s="52">
        <v>0</v>
      </c>
      <c r="L22" s="53"/>
      <c r="M22" s="54">
        <f t="shared" si="3"/>
        <v>1540.625</v>
      </c>
      <c r="N22" s="55">
        <f t="shared" si="4"/>
        <v>1913.6875</v>
      </c>
      <c r="O22" s="33" t="s">
        <v>69</v>
      </c>
      <c r="P22" s="60" t="s">
        <v>98</v>
      </c>
      <c r="Q22" s="60" t="s">
        <v>99</v>
      </c>
      <c r="R22" s="141" t="s">
        <v>101</v>
      </c>
      <c r="S22" s="62">
        <v>349311</v>
      </c>
      <c r="T22" s="60" t="s">
        <v>102</v>
      </c>
    </row>
    <row r="23" spans="1:20" x14ac:dyDescent="0.2">
      <c r="A23" s="45">
        <v>19</v>
      </c>
      <c r="B23" s="45" t="s">
        <v>103</v>
      </c>
      <c r="C23" s="46" t="s">
        <v>104</v>
      </c>
      <c r="D23" s="70" t="s">
        <v>82</v>
      </c>
      <c r="E23" s="68">
        <v>1012</v>
      </c>
      <c r="F23" s="52">
        <v>1012</v>
      </c>
      <c r="G23" s="50">
        <f t="shared" si="0"/>
        <v>75.899999999999991</v>
      </c>
      <c r="H23" s="50">
        <f t="shared" si="1"/>
        <v>144.20999999999998</v>
      </c>
      <c r="I23" s="51">
        <f t="shared" si="2"/>
        <v>13.100000000000001</v>
      </c>
      <c r="J23" s="52"/>
      <c r="K23" s="52">
        <v>0</v>
      </c>
      <c r="L23" s="53"/>
      <c r="M23" s="54">
        <f t="shared" si="3"/>
        <v>923</v>
      </c>
      <c r="N23" s="55">
        <f t="shared" si="4"/>
        <v>1156.21</v>
      </c>
      <c r="O23" s="33" t="s">
        <v>54</v>
      </c>
      <c r="P23" s="60" t="s">
        <v>103</v>
      </c>
      <c r="Q23" s="60" t="s">
        <v>104</v>
      </c>
      <c r="R23" s="141" t="s">
        <v>59</v>
      </c>
      <c r="S23" s="62">
        <v>329111</v>
      </c>
      <c r="T23" s="60" t="s">
        <v>56</v>
      </c>
    </row>
    <row r="24" spans="1:20" x14ac:dyDescent="0.2">
      <c r="A24" s="45">
        <v>20</v>
      </c>
      <c r="B24" s="45" t="s">
        <v>105</v>
      </c>
      <c r="C24" s="46" t="s">
        <v>106</v>
      </c>
      <c r="D24" s="70" t="s">
        <v>82</v>
      </c>
      <c r="E24" s="68">
        <v>1193</v>
      </c>
      <c r="F24" s="52">
        <v>1193</v>
      </c>
      <c r="G24" s="50">
        <f t="shared" si="0"/>
        <v>89.474999999999994</v>
      </c>
      <c r="H24" s="50">
        <f t="shared" si="1"/>
        <v>170.0025</v>
      </c>
      <c r="I24" s="51">
        <f t="shared" si="2"/>
        <v>23.466666666666669</v>
      </c>
      <c r="J24" s="52"/>
      <c r="K24" s="52">
        <v>0</v>
      </c>
      <c r="L24" s="53"/>
      <c r="M24" s="54">
        <f t="shared" si="3"/>
        <v>1080.0583333333334</v>
      </c>
      <c r="N24" s="55">
        <f t="shared" si="4"/>
        <v>1363.0025000000001</v>
      </c>
      <c r="O24" s="33" t="s">
        <v>54</v>
      </c>
      <c r="P24" s="60" t="s">
        <v>105</v>
      </c>
      <c r="Q24" s="60" t="s">
        <v>106</v>
      </c>
      <c r="R24" s="141" t="s">
        <v>59</v>
      </c>
      <c r="S24" s="62">
        <v>329111</v>
      </c>
      <c r="T24" s="60" t="s">
        <v>56</v>
      </c>
    </row>
    <row r="25" spans="1:20" ht="15" thickBot="1" x14ac:dyDescent="0.25">
      <c r="A25" s="45">
        <v>21</v>
      </c>
      <c r="B25" s="71" t="s">
        <v>107</v>
      </c>
      <c r="C25" s="46" t="s">
        <v>108</v>
      </c>
      <c r="D25" s="70" t="s">
        <v>109</v>
      </c>
      <c r="E25" s="68">
        <v>2500</v>
      </c>
      <c r="F25" s="52">
        <v>2500</v>
      </c>
      <c r="G25" s="50">
        <f t="shared" si="0"/>
        <v>187.5</v>
      </c>
      <c r="H25" s="50">
        <f t="shared" si="1"/>
        <v>356.24999999999994</v>
      </c>
      <c r="I25" s="51">
        <f t="shared" si="2"/>
        <v>87.5</v>
      </c>
      <c r="J25" s="52"/>
      <c r="K25" s="52">
        <v>0</v>
      </c>
      <c r="L25" s="53"/>
      <c r="M25" s="54">
        <f t="shared" si="3"/>
        <v>2225</v>
      </c>
      <c r="N25" s="55">
        <f t="shared" si="4"/>
        <v>2856.25</v>
      </c>
      <c r="O25" s="33" t="s">
        <v>69</v>
      </c>
      <c r="P25" s="60" t="s">
        <v>107</v>
      </c>
      <c r="Q25" s="60" t="s">
        <v>108</v>
      </c>
      <c r="R25" s="141" t="s">
        <v>59</v>
      </c>
      <c r="S25" s="62">
        <v>122111</v>
      </c>
      <c r="T25" s="60" t="s">
        <v>110</v>
      </c>
    </row>
    <row r="26" spans="1:20" x14ac:dyDescent="0.2">
      <c r="A26" s="63">
        <v>22</v>
      </c>
      <c r="B26" s="45" t="s">
        <v>111</v>
      </c>
      <c r="C26" s="46" t="s">
        <v>112</v>
      </c>
      <c r="D26" s="70" t="s">
        <v>82</v>
      </c>
      <c r="E26" s="68">
        <v>1012</v>
      </c>
      <c r="F26" s="52">
        <v>1012</v>
      </c>
      <c r="G26" s="50">
        <f t="shared" si="0"/>
        <v>75.899999999999991</v>
      </c>
      <c r="H26" s="50">
        <f t="shared" si="1"/>
        <v>144.20999999999998</v>
      </c>
      <c r="I26" s="51">
        <f t="shared" si="2"/>
        <v>13.100000000000001</v>
      </c>
      <c r="J26" s="52"/>
      <c r="K26" s="52">
        <v>0</v>
      </c>
      <c r="L26" s="53"/>
      <c r="M26" s="54">
        <f t="shared" si="3"/>
        <v>923</v>
      </c>
      <c r="N26" s="55">
        <f t="shared" si="4"/>
        <v>1156.21</v>
      </c>
      <c r="O26" s="33" t="s">
        <v>54</v>
      </c>
      <c r="P26" s="60" t="s">
        <v>111</v>
      </c>
      <c r="Q26" s="60" t="s">
        <v>112</v>
      </c>
      <c r="R26" s="141" t="s">
        <v>59</v>
      </c>
      <c r="S26" s="62">
        <v>329111</v>
      </c>
      <c r="T26" s="60" t="s">
        <v>56</v>
      </c>
    </row>
    <row r="27" spans="1:20" x14ac:dyDescent="0.2">
      <c r="A27" s="45">
        <v>23</v>
      </c>
      <c r="B27" s="45" t="s">
        <v>113</v>
      </c>
      <c r="C27" s="46" t="s">
        <v>114</v>
      </c>
      <c r="D27" s="70" t="s">
        <v>82</v>
      </c>
      <c r="E27" s="68">
        <v>976</v>
      </c>
      <c r="F27" s="52">
        <v>976</v>
      </c>
      <c r="G27" s="50">
        <f t="shared" si="0"/>
        <v>73.2</v>
      </c>
      <c r="H27" s="50">
        <f t="shared" si="1"/>
        <v>139.07999999999998</v>
      </c>
      <c r="I27" s="51">
        <f t="shared" si="2"/>
        <v>11.299999999999999</v>
      </c>
      <c r="J27" s="52"/>
      <c r="K27" s="52">
        <v>0</v>
      </c>
      <c r="L27" s="53"/>
      <c r="M27" s="54">
        <f t="shared" si="3"/>
        <v>891.5</v>
      </c>
      <c r="N27" s="55">
        <f t="shared" si="4"/>
        <v>1115.08</v>
      </c>
      <c r="O27" s="33" t="s">
        <v>54</v>
      </c>
      <c r="P27" s="60" t="s">
        <v>113</v>
      </c>
      <c r="Q27" s="60" t="s">
        <v>114</v>
      </c>
      <c r="R27" s="141" t="s">
        <v>59</v>
      </c>
      <c r="S27" s="62">
        <v>329111</v>
      </c>
      <c r="T27" s="60" t="s">
        <v>56</v>
      </c>
    </row>
    <row r="28" spans="1:20" x14ac:dyDescent="0.2">
      <c r="A28" s="45">
        <v>24</v>
      </c>
      <c r="B28" s="45" t="s">
        <v>115</v>
      </c>
      <c r="C28" s="46" t="s">
        <v>116</v>
      </c>
      <c r="D28" s="70" t="s">
        <v>82</v>
      </c>
      <c r="E28" s="68">
        <v>1012</v>
      </c>
      <c r="F28" s="52">
        <v>1012</v>
      </c>
      <c r="G28" s="50">
        <f t="shared" si="0"/>
        <v>75.899999999999991</v>
      </c>
      <c r="H28" s="50">
        <f t="shared" si="1"/>
        <v>144.20999999999998</v>
      </c>
      <c r="I28" s="51">
        <f t="shared" si="2"/>
        <v>13.100000000000001</v>
      </c>
      <c r="J28" s="52"/>
      <c r="K28" s="52">
        <v>0</v>
      </c>
      <c r="L28" s="53"/>
      <c r="M28" s="54">
        <f t="shared" si="3"/>
        <v>923</v>
      </c>
      <c r="N28" s="55">
        <f t="shared" si="4"/>
        <v>1156.21</v>
      </c>
      <c r="O28" s="33" t="s">
        <v>54</v>
      </c>
      <c r="P28" s="60" t="s">
        <v>115</v>
      </c>
      <c r="Q28" s="60" t="s">
        <v>116</v>
      </c>
      <c r="R28" s="141" t="s">
        <v>59</v>
      </c>
      <c r="S28" s="62">
        <v>329111</v>
      </c>
      <c r="T28" s="60" t="s">
        <v>56</v>
      </c>
    </row>
    <row r="29" spans="1:20" x14ac:dyDescent="0.2">
      <c r="A29" s="45">
        <v>25</v>
      </c>
      <c r="B29" s="71" t="s">
        <v>117</v>
      </c>
      <c r="C29" s="46" t="s">
        <v>118</v>
      </c>
      <c r="D29" s="70" t="s">
        <v>97</v>
      </c>
      <c r="E29" s="68">
        <v>1000</v>
      </c>
      <c r="F29" s="52">
        <v>1000</v>
      </c>
      <c r="G29" s="50">
        <f t="shared" si="0"/>
        <v>75</v>
      </c>
      <c r="H29" s="50">
        <f t="shared" si="1"/>
        <v>142.5</v>
      </c>
      <c r="I29" s="51">
        <f t="shared" si="2"/>
        <v>12.5</v>
      </c>
      <c r="J29" s="52"/>
      <c r="K29" s="52">
        <v>0</v>
      </c>
      <c r="L29" s="53"/>
      <c r="M29" s="54">
        <f t="shared" si="3"/>
        <v>912.5</v>
      </c>
      <c r="N29" s="55">
        <f t="shared" si="4"/>
        <v>1142.5</v>
      </c>
      <c r="O29" s="33" t="s">
        <v>54</v>
      </c>
      <c r="P29" s="60" t="s">
        <v>117</v>
      </c>
      <c r="Q29" s="60" t="s">
        <v>118</v>
      </c>
      <c r="R29" s="141" t="s">
        <v>59</v>
      </c>
      <c r="S29" s="62">
        <v>323111</v>
      </c>
      <c r="T29" s="60" t="s">
        <v>56</v>
      </c>
    </row>
    <row r="30" spans="1:20" x14ac:dyDescent="0.2">
      <c r="A30" s="45">
        <v>26</v>
      </c>
      <c r="B30" s="71" t="s">
        <v>119</v>
      </c>
      <c r="C30" s="46" t="s">
        <v>120</v>
      </c>
      <c r="D30" s="70" t="s">
        <v>85</v>
      </c>
      <c r="E30" s="68">
        <v>1705</v>
      </c>
      <c r="F30" s="52">
        <v>1705</v>
      </c>
      <c r="G30" s="50">
        <f t="shared" si="0"/>
        <v>127.875</v>
      </c>
      <c r="H30" s="50">
        <f t="shared" si="1"/>
        <v>242.96249999999998</v>
      </c>
      <c r="I30" s="51">
        <f t="shared" si="2"/>
        <v>80.75</v>
      </c>
      <c r="J30" s="52"/>
      <c r="K30" s="52">
        <v>0</v>
      </c>
      <c r="L30" s="53"/>
      <c r="M30" s="54">
        <f t="shared" si="3"/>
        <v>1496.375</v>
      </c>
      <c r="N30" s="55">
        <f t="shared" si="4"/>
        <v>1947.9625000000001</v>
      </c>
      <c r="O30" s="33" t="s">
        <v>54</v>
      </c>
      <c r="P30" s="60" t="s">
        <v>119</v>
      </c>
      <c r="Q30" s="60" t="s">
        <v>120</v>
      </c>
      <c r="R30" s="141" t="s">
        <v>59</v>
      </c>
      <c r="S30" s="62">
        <v>323111</v>
      </c>
      <c r="T30" s="60" t="s">
        <v>56</v>
      </c>
    </row>
    <row r="31" spans="1:20" ht="15" thickBot="1" x14ac:dyDescent="0.25">
      <c r="A31" s="45">
        <v>27</v>
      </c>
      <c r="B31" s="71" t="s">
        <v>121</v>
      </c>
      <c r="C31" s="46" t="s">
        <v>122</v>
      </c>
      <c r="D31" s="70" t="s">
        <v>123</v>
      </c>
      <c r="E31" s="68">
        <v>1633</v>
      </c>
      <c r="F31" s="52">
        <v>1633</v>
      </c>
      <c r="G31" s="50">
        <f t="shared" si="0"/>
        <v>122.47499999999999</v>
      </c>
      <c r="H31" s="50">
        <f t="shared" si="1"/>
        <v>232.70249999999999</v>
      </c>
      <c r="I31" s="51">
        <f t="shared" si="2"/>
        <v>69.95</v>
      </c>
      <c r="J31" s="52"/>
      <c r="K31" s="52">
        <v>0</v>
      </c>
      <c r="L31" s="53"/>
      <c r="M31" s="54">
        <f t="shared" si="3"/>
        <v>1440.575</v>
      </c>
      <c r="N31" s="55">
        <f t="shared" si="4"/>
        <v>1865.7024999999999</v>
      </c>
      <c r="O31" s="33" t="s">
        <v>54</v>
      </c>
      <c r="P31" s="60" t="s">
        <v>121</v>
      </c>
      <c r="Q31" s="60" t="s">
        <v>122</v>
      </c>
      <c r="R31" s="141" t="s">
        <v>59</v>
      </c>
      <c r="S31" s="62">
        <v>323111</v>
      </c>
      <c r="T31" s="60" t="s">
        <v>56</v>
      </c>
    </row>
    <row r="32" spans="1:20" x14ac:dyDescent="0.2">
      <c r="A32" s="63">
        <v>28</v>
      </c>
      <c r="B32" s="71" t="s">
        <v>124</v>
      </c>
      <c r="C32" s="46" t="s">
        <v>125</v>
      </c>
      <c r="D32" s="70" t="s">
        <v>77</v>
      </c>
      <c r="E32" s="68">
        <v>1450</v>
      </c>
      <c r="F32" s="52">
        <v>1450</v>
      </c>
      <c r="G32" s="50">
        <f t="shared" si="0"/>
        <v>108.75</v>
      </c>
      <c r="H32" s="50">
        <f t="shared" si="1"/>
        <v>206.62499999999997</v>
      </c>
      <c r="I32" s="51">
        <f t="shared" si="2"/>
        <v>49.166666666666664</v>
      </c>
      <c r="J32" s="52"/>
      <c r="K32" s="52">
        <v>0</v>
      </c>
      <c r="L32" s="53"/>
      <c r="M32" s="54">
        <f t="shared" si="3"/>
        <v>1292.0833333333333</v>
      </c>
      <c r="N32" s="55">
        <f t="shared" si="4"/>
        <v>1656.625</v>
      </c>
      <c r="O32" s="33" t="s">
        <v>54</v>
      </c>
      <c r="P32" s="60" t="s">
        <v>124</v>
      </c>
      <c r="Q32" s="60" t="s">
        <v>125</v>
      </c>
      <c r="R32" s="141" t="s">
        <v>59</v>
      </c>
      <c r="S32" s="62">
        <v>323111</v>
      </c>
      <c r="T32" s="60" t="s">
        <v>56</v>
      </c>
    </row>
    <row r="33" spans="1:20" x14ac:dyDescent="0.2">
      <c r="A33" s="45">
        <v>29</v>
      </c>
      <c r="B33" s="71" t="s">
        <v>126</v>
      </c>
      <c r="C33" s="46" t="s">
        <v>127</v>
      </c>
      <c r="D33" s="70" t="s">
        <v>128</v>
      </c>
      <c r="E33" s="68">
        <v>615</v>
      </c>
      <c r="F33" s="52">
        <v>615</v>
      </c>
      <c r="G33" s="50">
        <f t="shared" si="0"/>
        <v>46.125</v>
      </c>
      <c r="H33" s="50">
        <f t="shared" si="1"/>
        <v>87.637499999999989</v>
      </c>
      <c r="I33" s="51">
        <f t="shared" si="2"/>
        <v>0</v>
      </c>
      <c r="J33" s="52"/>
      <c r="K33" s="52">
        <v>0</v>
      </c>
      <c r="L33" s="53"/>
      <c r="M33" s="54">
        <f t="shared" si="3"/>
        <v>568.875</v>
      </c>
      <c r="N33" s="55">
        <f t="shared" si="4"/>
        <v>702.63750000000005</v>
      </c>
      <c r="O33" s="33" t="s">
        <v>54</v>
      </c>
      <c r="P33" s="60" t="s">
        <v>126</v>
      </c>
      <c r="Q33" s="60" t="s">
        <v>127</v>
      </c>
      <c r="R33" s="141" t="s">
        <v>59</v>
      </c>
      <c r="S33" s="62">
        <v>325311</v>
      </c>
      <c r="T33" s="72" t="s">
        <v>56</v>
      </c>
    </row>
    <row r="34" spans="1:20" x14ac:dyDescent="0.2">
      <c r="A34" s="45">
        <v>30</v>
      </c>
      <c r="B34" s="71" t="s">
        <v>129</v>
      </c>
      <c r="C34" s="46" t="s">
        <v>130</v>
      </c>
      <c r="D34" s="70" t="s">
        <v>85</v>
      </c>
      <c r="E34" s="68">
        <v>1193</v>
      </c>
      <c r="F34" s="52">
        <v>1193</v>
      </c>
      <c r="G34" s="50">
        <f t="shared" si="0"/>
        <v>89.474999999999994</v>
      </c>
      <c r="H34" s="50">
        <f t="shared" si="1"/>
        <v>170.0025</v>
      </c>
      <c r="I34" s="51">
        <f t="shared" si="2"/>
        <v>23.466666666666669</v>
      </c>
      <c r="J34" s="52"/>
      <c r="K34" s="52">
        <v>0</v>
      </c>
      <c r="L34" s="53"/>
      <c r="M34" s="54">
        <f t="shared" si="3"/>
        <v>1080.0583333333334</v>
      </c>
      <c r="N34" s="55">
        <f t="shared" si="4"/>
        <v>1363.0025000000001</v>
      </c>
      <c r="O34" s="33" t="s">
        <v>54</v>
      </c>
      <c r="P34" s="60" t="s">
        <v>129</v>
      </c>
      <c r="Q34" s="60" t="s">
        <v>130</v>
      </c>
      <c r="R34" s="141" t="s">
        <v>59</v>
      </c>
      <c r="S34" s="62">
        <v>323111</v>
      </c>
      <c r="T34" s="60" t="s">
        <v>56</v>
      </c>
    </row>
    <row r="35" spans="1:20" x14ac:dyDescent="0.2">
      <c r="A35" s="45">
        <v>31</v>
      </c>
      <c r="B35" s="71" t="s">
        <v>131</v>
      </c>
      <c r="C35" s="46" t="s">
        <v>132</v>
      </c>
      <c r="D35" s="70" t="s">
        <v>133</v>
      </c>
      <c r="E35" s="68">
        <v>2272</v>
      </c>
      <c r="F35" s="52">
        <v>2272</v>
      </c>
      <c r="G35" s="50">
        <f t="shared" si="0"/>
        <v>170.4</v>
      </c>
      <c r="H35" s="50">
        <f t="shared" si="1"/>
        <v>323.76</v>
      </c>
      <c r="I35" s="51">
        <f t="shared" si="2"/>
        <v>179.4</v>
      </c>
      <c r="J35" s="52"/>
      <c r="K35" s="52">
        <v>0</v>
      </c>
      <c r="L35" s="53"/>
      <c r="M35" s="54">
        <f t="shared" si="3"/>
        <v>1922.2</v>
      </c>
      <c r="N35" s="55">
        <f t="shared" si="4"/>
        <v>2595.7600000000002</v>
      </c>
      <c r="O35" s="33" t="s">
        <v>54</v>
      </c>
      <c r="P35" s="60" t="s">
        <v>131</v>
      </c>
      <c r="Q35" s="60" t="s">
        <v>132</v>
      </c>
      <c r="R35" s="141" t="s">
        <v>59</v>
      </c>
      <c r="S35" s="62">
        <v>323111</v>
      </c>
      <c r="T35" s="60" t="s">
        <v>56</v>
      </c>
    </row>
    <row r="36" spans="1:20" x14ac:dyDescent="0.2">
      <c r="A36" s="45">
        <v>32</v>
      </c>
      <c r="B36" s="71" t="s">
        <v>134</v>
      </c>
      <c r="C36" s="46" t="s">
        <v>135</v>
      </c>
      <c r="D36" s="70" t="s">
        <v>136</v>
      </c>
      <c r="E36" s="68">
        <v>815</v>
      </c>
      <c r="F36" s="52">
        <v>815</v>
      </c>
      <c r="G36" s="50">
        <f t="shared" si="0"/>
        <v>61.125</v>
      </c>
      <c r="H36" s="50">
        <f t="shared" si="1"/>
        <v>116.13749999999999</v>
      </c>
      <c r="I36" s="51">
        <f t="shared" si="2"/>
        <v>3.25</v>
      </c>
      <c r="J36" s="52"/>
      <c r="K36" s="52">
        <v>0</v>
      </c>
      <c r="L36" s="53"/>
      <c r="M36" s="54">
        <f t="shared" si="3"/>
        <v>750.625</v>
      </c>
      <c r="N36" s="55">
        <f t="shared" si="4"/>
        <v>931.13750000000005</v>
      </c>
      <c r="O36" s="33" t="s">
        <v>54</v>
      </c>
      <c r="P36" s="60" t="s">
        <v>134</v>
      </c>
      <c r="Q36" s="60" t="s">
        <v>135</v>
      </c>
      <c r="R36" s="141" t="s">
        <v>137</v>
      </c>
      <c r="S36" s="62">
        <v>311311</v>
      </c>
      <c r="T36" s="60" t="s">
        <v>138</v>
      </c>
    </row>
    <row r="37" spans="1:20" ht="15" thickBot="1" x14ac:dyDescent="0.25">
      <c r="A37" s="45">
        <v>33</v>
      </c>
      <c r="B37" s="71" t="s">
        <v>139</v>
      </c>
      <c r="C37" s="46" t="s">
        <v>140</v>
      </c>
      <c r="D37" s="70" t="s">
        <v>65</v>
      </c>
      <c r="E37" s="68">
        <v>1022</v>
      </c>
      <c r="F37" s="52">
        <v>1022</v>
      </c>
      <c r="G37" s="50">
        <f t="shared" si="0"/>
        <v>76.649999999999991</v>
      </c>
      <c r="H37" s="50">
        <f t="shared" si="1"/>
        <v>145.63499999999999</v>
      </c>
      <c r="I37" s="51">
        <f t="shared" si="2"/>
        <v>13.600000000000001</v>
      </c>
      <c r="J37" s="52"/>
      <c r="K37" s="52">
        <v>0</v>
      </c>
      <c r="L37" s="53"/>
      <c r="M37" s="54">
        <f t="shared" si="3"/>
        <v>931.75</v>
      </c>
      <c r="N37" s="55">
        <f t="shared" si="4"/>
        <v>1167.635</v>
      </c>
      <c r="O37" s="33" t="s">
        <v>54</v>
      </c>
      <c r="P37" s="60" t="s">
        <v>139</v>
      </c>
      <c r="Q37" s="60" t="s">
        <v>140</v>
      </c>
      <c r="R37" s="141" t="s">
        <v>59</v>
      </c>
      <c r="S37" s="62">
        <v>323111</v>
      </c>
      <c r="T37" s="60" t="s">
        <v>56</v>
      </c>
    </row>
    <row r="38" spans="1:20" x14ac:dyDescent="0.2">
      <c r="A38" s="63">
        <v>34</v>
      </c>
      <c r="B38" s="71" t="s">
        <v>141</v>
      </c>
      <c r="C38" s="46" t="s">
        <v>142</v>
      </c>
      <c r="D38" s="70" t="s">
        <v>143</v>
      </c>
      <c r="E38" s="68">
        <v>2800</v>
      </c>
      <c r="F38" s="52">
        <v>2800</v>
      </c>
      <c r="G38" s="50">
        <f t="shared" si="0"/>
        <v>210</v>
      </c>
      <c r="H38" s="50">
        <f t="shared" si="1"/>
        <v>398.99999999999994</v>
      </c>
      <c r="I38" s="51">
        <f t="shared" si="2"/>
        <v>135</v>
      </c>
      <c r="J38" s="52"/>
      <c r="K38" s="52">
        <v>0</v>
      </c>
      <c r="L38" s="53"/>
      <c r="M38" s="54">
        <f t="shared" si="3"/>
        <v>2455</v>
      </c>
      <c r="N38" s="55">
        <f t="shared" si="4"/>
        <v>3199</v>
      </c>
      <c r="O38" s="33" t="s">
        <v>69</v>
      </c>
      <c r="P38" s="60" t="s">
        <v>141</v>
      </c>
      <c r="Q38" s="60" t="s">
        <v>142</v>
      </c>
      <c r="R38" s="141" t="s">
        <v>59</v>
      </c>
      <c r="S38" s="62">
        <v>323111</v>
      </c>
      <c r="T38" s="60" t="s">
        <v>56</v>
      </c>
    </row>
    <row r="39" spans="1:20" x14ac:dyDescent="0.2">
      <c r="A39" s="45">
        <v>35</v>
      </c>
      <c r="B39" s="71" t="s">
        <v>144</v>
      </c>
      <c r="C39" s="46" t="s">
        <v>145</v>
      </c>
      <c r="D39" s="70" t="s">
        <v>65</v>
      </c>
      <c r="E39" s="68">
        <v>1065</v>
      </c>
      <c r="F39" s="52">
        <v>1065</v>
      </c>
      <c r="G39" s="50">
        <f t="shared" si="0"/>
        <v>79.875</v>
      </c>
      <c r="H39" s="50">
        <f t="shared" si="1"/>
        <v>151.76249999999999</v>
      </c>
      <c r="I39" s="51">
        <f t="shared" si="2"/>
        <v>15.75</v>
      </c>
      <c r="J39" s="52"/>
      <c r="K39" s="52">
        <v>0</v>
      </c>
      <c r="L39" s="53"/>
      <c r="M39" s="54">
        <f t="shared" si="3"/>
        <v>969.375</v>
      </c>
      <c r="N39" s="55">
        <f t="shared" si="4"/>
        <v>1216.7625</v>
      </c>
      <c r="O39" s="33" t="s">
        <v>54</v>
      </c>
      <c r="P39" s="60" t="s">
        <v>144</v>
      </c>
      <c r="Q39" s="60" t="s">
        <v>145</v>
      </c>
      <c r="R39" s="141" t="s">
        <v>59</v>
      </c>
      <c r="S39" s="62">
        <v>323111</v>
      </c>
      <c r="T39" s="60" t="s">
        <v>56</v>
      </c>
    </row>
    <row r="40" spans="1:20" x14ac:dyDescent="0.2">
      <c r="A40" s="45">
        <v>36</v>
      </c>
      <c r="B40" s="71" t="s">
        <v>146</v>
      </c>
      <c r="C40" s="46" t="s">
        <v>147</v>
      </c>
      <c r="D40" s="70" t="s">
        <v>148</v>
      </c>
      <c r="E40" s="68">
        <v>1600</v>
      </c>
      <c r="F40" s="52">
        <v>1600</v>
      </c>
      <c r="G40" s="50">
        <f t="shared" si="0"/>
        <v>120</v>
      </c>
      <c r="H40" s="50">
        <f t="shared" si="1"/>
        <v>227.99999999999997</v>
      </c>
      <c r="I40" s="51">
        <f t="shared" si="2"/>
        <v>5</v>
      </c>
      <c r="J40" s="52"/>
      <c r="K40" s="52">
        <v>0</v>
      </c>
      <c r="L40" s="53"/>
      <c r="M40" s="54">
        <f t="shared" si="3"/>
        <v>1475</v>
      </c>
      <c r="N40" s="55">
        <f t="shared" si="4"/>
        <v>1828</v>
      </c>
      <c r="O40" s="33" t="s">
        <v>69</v>
      </c>
      <c r="P40" s="60" t="s">
        <v>146</v>
      </c>
      <c r="Q40" s="60" t="s">
        <v>147</v>
      </c>
      <c r="R40" s="141" t="s">
        <v>101</v>
      </c>
      <c r="S40" s="62">
        <v>349311</v>
      </c>
      <c r="T40" s="60" t="s">
        <v>102</v>
      </c>
    </row>
    <row r="41" spans="1:20" x14ac:dyDescent="0.2">
      <c r="A41" s="45">
        <v>37</v>
      </c>
      <c r="B41" s="71" t="s">
        <v>149</v>
      </c>
      <c r="C41" s="46" t="s">
        <v>150</v>
      </c>
      <c r="D41" s="70" t="s">
        <v>143</v>
      </c>
      <c r="E41" s="68">
        <v>2740</v>
      </c>
      <c r="F41" s="52">
        <v>2740</v>
      </c>
      <c r="G41" s="50">
        <f t="shared" si="0"/>
        <v>205.5</v>
      </c>
      <c r="H41" s="50">
        <f t="shared" si="1"/>
        <v>390.45</v>
      </c>
      <c r="I41" s="51">
        <f t="shared" si="2"/>
        <v>123.5</v>
      </c>
      <c r="J41" s="52"/>
      <c r="K41" s="52">
        <v>0</v>
      </c>
      <c r="L41" s="53"/>
      <c r="M41" s="54">
        <f t="shared" si="3"/>
        <v>2411</v>
      </c>
      <c r="N41" s="55">
        <f t="shared" si="4"/>
        <v>3130.45</v>
      </c>
      <c r="O41" s="33" t="s">
        <v>69</v>
      </c>
      <c r="P41" s="60" t="s">
        <v>149</v>
      </c>
      <c r="Q41" s="60" t="s">
        <v>150</v>
      </c>
      <c r="R41" s="141" t="s">
        <v>59</v>
      </c>
      <c r="S41" s="62">
        <v>323111</v>
      </c>
      <c r="T41" s="60" t="s">
        <v>56</v>
      </c>
    </row>
    <row r="42" spans="1:20" x14ac:dyDescent="0.2">
      <c r="A42" s="45">
        <v>38</v>
      </c>
      <c r="B42" s="71" t="s">
        <v>151</v>
      </c>
      <c r="C42" s="46" t="s">
        <v>152</v>
      </c>
      <c r="D42" s="70" t="s">
        <v>143</v>
      </c>
      <c r="E42" s="68">
        <v>2270</v>
      </c>
      <c r="F42" s="52">
        <v>2270</v>
      </c>
      <c r="G42" s="50">
        <f t="shared" si="0"/>
        <v>170.25</v>
      </c>
      <c r="H42" s="50">
        <f t="shared" si="1"/>
        <v>323.47499999999997</v>
      </c>
      <c r="I42" s="51">
        <f t="shared" si="2"/>
        <v>179</v>
      </c>
      <c r="J42" s="52"/>
      <c r="K42" s="52">
        <v>0</v>
      </c>
      <c r="L42" s="53"/>
      <c r="M42" s="54">
        <f t="shared" si="3"/>
        <v>1920.75</v>
      </c>
      <c r="N42" s="55">
        <f t="shared" si="4"/>
        <v>2593.4749999999999</v>
      </c>
      <c r="O42" s="33" t="s">
        <v>54</v>
      </c>
      <c r="P42" s="60" t="s">
        <v>151</v>
      </c>
      <c r="Q42" s="60" t="s">
        <v>152</v>
      </c>
      <c r="R42" s="141" t="s">
        <v>59</v>
      </c>
      <c r="S42" s="62">
        <v>323111</v>
      </c>
      <c r="T42" s="60" t="s">
        <v>56</v>
      </c>
    </row>
    <row r="43" spans="1:20" ht="15" thickBot="1" x14ac:dyDescent="0.25">
      <c r="A43" s="45">
        <v>39</v>
      </c>
      <c r="B43" s="71" t="s">
        <v>153</v>
      </c>
      <c r="C43" s="46" t="s">
        <v>154</v>
      </c>
      <c r="D43" s="70" t="s">
        <v>97</v>
      </c>
      <c r="E43" s="68">
        <v>900</v>
      </c>
      <c r="F43" s="52">
        <v>900</v>
      </c>
      <c r="G43" s="50">
        <f t="shared" si="0"/>
        <v>67.5</v>
      </c>
      <c r="H43" s="50">
        <f t="shared" si="1"/>
        <v>128.25</v>
      </c>
      <c r="I43" s="51">
        <f t="shared" si="2"/>
        <v>7.5</v>
      </c>
      <c r="J43" s="52"/>
      <c r="K43" s="52">
        <v>0</v>
      </c>
      <c r="L43" s="53"/>
      <c r="M43" s="54">
        <f t="shared" si="3"/>
        <v>825</v>
      </c>
      <c r="N43" s="55">
        <f t="shared" si="4"/>
        <v>1028.25</v>
      </c>
      <c r="O43" s="33" t="s">
        <v>54</v>
      </c>
      <c r="P43" s="60" t="s">
        <v>153</v>
      </c>
      <c r="Q43" s="60" t="s">
        <v>154</v>
      </c>
      <c r="R43" s="141" t="s">
        <v>59</v>
      </c>
      <c r="S43" s="62">
        <v>323111</v>
      </c>
      <c r="T43" s="60" t="s">
        <v>56</v>
      </c>
    </row>
    <row r="44" spans="1:20" x14ac:dyDescent="0.2">
      <c r="A44" s="63">
        <v>40</v>
      </c>
      <c r="B44" s="71" t="s">
        <v>155</v>
      </c>
      <c r="C44" s="46" t="s">
        <v>156</v>
      </c>
      <c r="D44" s="70" t="s">
        <v>157</v>
      </c>
      <c r="E44" s="69">
        <v>1193</v>
      </c>
      <c r="F44" s="49">
        <v>1193</v>
      </c>
      <c r="G44" s="50">
        <f t="shared" si="0"/>
        <v>89.474999999999994</v>
      </c>
      <c r="H44" s="50">
        <f t="shared" si="1"/>
        <v>170.0025</v>
      </c>
      <c r="I44" s="51">
        <f>(IF((O44="No"),(IF((($F44*12)-9000)&lt;0,0,(IF((($F44*12)-9000)&gt;20000,(5000*5%+5000*10%+5000*15%+5000*20%+((($F44*12)-9000)-20000)*25%),IF((($F44*12)-9000)&gt;15000,(5000*5%+5000*10%+5000*15%+((($F44*12)-9000)-15000)*20%),IF((($F44*12)-9000)&gt;10000,(5000*5%+5000*10%+((($F44*12)-9000)-10000)*15%),IF((($F44*12)-9000)&gt;5000,(5000*5%+((($F44*12)-9000)-5000)*10%),IF((($F44*12)-9000)&lt;5000,(($F44*12)-9000)*5%)))))))),((IF((($F44*12)-18000)&lt;0,0,(IF((($F44*12)-18000)&gt;20000,(5000*5%+5000*10%+5000*15%+5000*20%+((($F44*12)-18000)-20000)*25%),IF((($F44*12)-18000)&gt;15000,(5000*5%+5000*10%+5000*15%+((($F44*12)-18000)-15000)*20%),IF((($F44*12)-18000)&gt;10000,(5000*5%+5000*10%+((($F44*12)-18000)-10000)*15%),IF((($F44*12)-18000)&gt;5000,(5000*5%+((($F44*12)-18000)-5000)*10%),IF((($F44*12)-18000)&lt;5000,(($F44*12)-18000)*5%))))))))))/12)</f>
        <v>23.466666666666669</v>
      </c>
      <c r="J44" s="52"/>
      <c r="K44" s="52">
        <v>0</v>
      </c>
      <c r="L44" s="53"/>
      <c r="M44" s="54">
        <f t="shared" si="3"/>
        <v>1080.0583333333334</v>
      </c>
      <c r="N44" s="55">
        <f t="shared" si="4"/>
        <v>1363.0025000000001</v>
      </c>
      <c r="O44" s="33" t="s">
        <v>54</v>
      </c>
      <c r="P44" s="60" t="s">
        <v>155</v>
      </c>
      <c r="Q44" s="60" t="s">
        <v>156</v>
      </c>
      <c r="R44" s="141" t="s">
        <v>55</v>
      </c>
      <c r="S44" s="62">
        <v>325311</v>
      </c>
      <c r="T44" s="72" t="s">
        <v>56</v>
      </c>
    </row>
    <row r="45" spans="1:20" x14ac:dyDescent="0.2">
      <c r="A45" s="45">
        <v>41</v>
      </c>
      <c r="B45" s="71" t="s">
        <v>158</v>
      </c>
      <c r="C45" s="46" t="s">
        <v>159</v>
      </c>
      <c r="D45" s="70" t="s">
        <v>160</v>
      </c>
      <c r="E45" s="68">
        <v>900</v>
      </c>
      <c r="F45" s="52">
        <f>900</f>
        <v>900</v>
      </c>
      <c r="G45" s="50">
        <f t="shared" si="0"/>
        <v>67.5</v>
      </c>
      <c r="H45" s="50">
        <f t="shared" si="1"/>
        <v>128.25</v>
      </c>
      <c r="I45" s="51">
        <f t="shared" si="2"/>
        <v>7.5</v>
      </c>
      <c r="J45" s="52"/>
      <c r="K45" s="52">
        <v>0</v>
      </c>
      <c r="L45" s="53"/>
      <c r="M45" s="54">
        <f t="shared" si="3"/>
        <v>825</v>
      </c>
      <c r="N45" s="55">
        <f t="shared" si="4"/>
        <v>1028.25</v>
      </c>
      <c r="O45" s="33" t="s">
        <v>54</v>
      </c>
      <c r="P45" s="60" t="s">
        <v>158</v>
      </c>
      <c r="Q45" s="60" t="s">
        <v>159</v>
      </c>
      <c r="R45" s="141" t="s">
        <v>55</v>
      </c>
      <c r="S45" s="62">
        <v>323111</v>
      </c>
      <c r="T45" s="60" t="s">
        <v>56</v>
      </c>
    </row>
    <row r="46" spans="1:20" x14ac:dyDescent="0.2">
      <c r="A46" s="45">
        <v>42</v>
      </c>
      <c r="B46" s="71" t="s">
        <v>161</v>
      </c>
      <c r="C46" s="73" t="s">
        <v>162</v>
      </c>
      <c r="D46" s="70" t="s">
        <v>163</v>
      </c>
      <c r="E46" s="68">
        <v>450</v>
      </c>
      <c r="F46" s="52">
        <v>450</v>
      </c>
      <c r="G46" s="50">
        <f t="shared" si="0"/>
        <v>33.75</v>
      </c>
      <c r="H46" s="50">
        <f t="shared" si="1"/>
        <v>64.125</v>
      </c>
      <c r="I46" s="51">
        <f t="shared" si="2"/>
        <v>0</v>
      </c>
      <c r="J46" s="52"/>
      <c r="K46" s="52"/>
      <c r="L46" s="53"/>
      <c r="M46" s="54">
        <f t="shared" si="3"/>
        <v>416.25</v>
      </c>
      <c r="N46" s="55">
        <f t="shared" si="4"/>
        <v>514.125</v>
      </c>
      <c r="O46" s="33" t="s">
        <v>69</v>
      </c>
      <c r="P46" s="60" t="s">
        <v>161</v>
      </c>
      <c r="Q46" s="60" t="s">
        <v>162</v>
      </c>
      <c r="R46" s="141" t="s">
        <v>59</v>
      </c>
      <c r="S46" s="62">
        <v>134311</v>
      </c>
      <c r="T46" s="60" t="s">
        <v>164</v>
      </c>
    </row>
    <row r="47" spans="1:20" x14ac:dyDescent="0.2">
      <c r="A47" s="45">
        <v>43</v>
      </c>
      <c r="B47" s="71" t="s">
        <v>165</v>
      </c>
      <c r="C47" s="46" t="s">
        <v>166</v>
      </c>
      <c r="D47" s="70" t="s">
        <v>167</v>
      </c>
      <c r="E47" s="68">
        <v>1700</v>
      </c>
      <c r="F47" s="52">
        <v>1700</v>
      </c>
      <c r="G47" s="50">
        <f t="shared" si="0"/>
        <v>127.5</v>
      </c>
      <c r="H47" s="50">
        <f t="shared" si="1"/>
        <v>242.24999999999997</v>
      </c>
      <c r="I47" s="51">
        <f t="shared" si="2"/>
        <v>10</v>
      </c>
      <c r="J47" s="52"/>
      <c r="K47" s="52"/>
      <c r="L47" s="53"/>
      <c r="M47" s="54">
        <f t="shared" si="3"/>
        <v>1562.5</v>
      </c>
      <c r="N47" s="55">
        <f t="shared" si="4"/>
        <v>1942.25</v>
      </c>
      <c r="O47" s="33" t="s">
        <v>69</v>
      </c>
      <c r="P47" s="60" t="s">
        <v>165</v>
      </c>
      <c r="Q47" s="60" t="s">
        <v>166</v>
      </c>
      <c r="R47" s="141" t="s">
        <v>55</v>
      </c>
      <c r="S47" s="62">
        <v>323111</v>
      </c>
      <c r="T47" s="60" t="s">
        <v>56</v>
      </c>
    </row>
    <row r="48" spans="1:20" x14ac:dyDescent="0.2">
      <c r="A48" s="45">
        <v>44</v>
      </c>
      <c r="B48" s="71" t="s">
        <v>441</v>
      </c>
      <c r="C48" s="46" t="s">
        <v>442</v>
      </c>
      <c r="D48" s="70" t="s">
        <v>443</v>
      </c>
      <c r="E48" s="68">
        <v>480</v>
      </c>
      <c r="F48" s="52">
        <v>480</v>
      </c>
      <c r="G48" s="50">
        <f t="shared" si="0"/>
        <v>36</v>
      </c>
      <c r="H48" s="50">
        <f t="shared" si="1"/>
        <v>68.399999999999991</v>
      </c>
      <c r="I48" s="51">
        <f t="shared" si="2"/>
        <v>0</v>
      </c>
      <c r="J48" s="52"/>
      <c r="K48" s="52"/>
      <c r="L48" s="53"/>
      <c r="M48" s="54">
        <f t="shared" si="3"/>
        <v>444</v>
      </c>
      <c r="N48" s="55">
        <f t="shared" si="4"/>
        <v>548.4</v>
      </c>
      <c r="O48" s="33" t="s">
        <v>54</v>
      </c>
      <c r="P48" s="60" t="s">
        <v>441</v>
      </c>
      <c r="Q48" s="60" t="s">
        <v>442</v>
      </c>
      <c r="R48" s="141" t="s">
        <v>59</v>
      </c>
      <c r="S48" s="62">
        <v>329111</v>
      </c>
      <c r="T48" s="60" t="s">
        <v>56</v>
      </c>
    </row>
    <row r="49" spans="1:22" ht="15" thickBot="1" x14ac:dyDescent="0.25">
      <c r="A49" s="45">
        <v>45</v>
      </c>
      <c r="B49" s="71" t="s">
        <v>168</v>
      </c>
      <c r="C49" s="46" t="s">
        <v>169</v>
      </c>
      <c r="D49" s="70" t="s">
        <v>170</v>
      </c>
      <c r="E49" s="74">
        <v>350</v>
      </c>
      <c r="F49" s="52">
        <v>350</v>
      </c>
      <c r="G49" s="50">
        <f t="shared" si="0"/>
        <v>26.25</v>
      </c>
      <c r="H49" s="50">
        <f t="shared" si="1"/>
        <v>49.874999999999993</v>
      </c>
      <c r="I49" s="51">
        <f t="shared" si="2"/>
        <v>0</v>
      </c>
      <c r="J49" s="52"/>
      <c r="K49" s="52"/>
      <c r="L49" s="53"/>
      <c r="M49" s="54">
        <f t="shared" si="3"/>
        <v>323.75</v>
      </c>
      <c r="N49" s="55">
        <f t="shared" si="4"/>
        <v>399.875</v>
      </c>
      <c r="O49" s="33" t="s">
        <v>54</v>
      </c>
      <c r="P49" s="60" t="s">
        <v>168</v>
      </c>
      <c r="Q49" s="60" t="s">
        <v>169</v>
      </c>
      <c r="R49" s="141" t="s">
        <v>55</v>
      </c>
      <c r="S49" s="62">
        <v>325311</v>
      </c>
      <c r="T49" s="72" t="s">
        <v>56</v>
      </c>
    </row>
    <row r="50" spans="1:22" x14ac:dyDescent="0.2">
      <c r="A50" s="63">
        <v>46</v>
      </c>
      <c r="B50" s="71" t="s">
        <v>171</v>
      </c>
      <c r="C50" s="46" t="s">
        <v>172</v>
      </c>
      <c r="D50" s="75" t="s">
        <v>53</v>
      </c>
      <c r="E50" s="74">
        <v>700</v>
      </c>
      <c r="F50" s="52">
        <v>700</v>
      </c>
      <c r="G50" s="50">
        <f t="shared" si="0"/>
        <v>52.5</v>
      </c>
      <c r="H50" s="50">
        <f t="shared" si="1"/>
        <v>99.749999999999986</v>
      </c>
      <c r="I50" s="51">
        <f t="shared" si="2"/>
        <v>0</v>
      </c>
      <c r="J50" s="52"/>
      <c r="K50" s="52"/>
      <c r="L50" s="53"/>
      <c r="M50" s="54">
        <f t="shared" si="3"/>
        <v>647.5</v>
      </c>
      <c r="N50" s="55">
        <f t="shared" si="4"/>
        <v>799.75</v>
      </c>
      <c r="O50" s="33" t="s">
        <v>54</v>
      </c>
      <c r="P50" s="60" t="s">
        <v>171</v>
      </c>
      <c r="Q50" s="60" t="s">
        <v>172</v>
      </c>
      <c r="R50" s="141" t="s">
        <v>59</v>
      </c>
      <c r="S50" s="62">
        <v>329111</v>
      </c>
      <c r="T50" s="60" t="s">
        <v>56</v>
      </c>
    </row>
    <row r="51" spans="1:22" x14ac:dyDescent="0.2">
      <c r="A51" s="45">
        <v>47</v>
      </c>
      <c r="B51" s="71" t="s">
        <v>173</v>
      </c>
      <c r="C51" s="46" t="s">
        <v>174</v>
      </c>
      <c r="D51" s="75" t="s">
        <v>175</v>
      </c>
      <c r="E51" s="74">
        <v>2300</v>
      </c>
      <c r="F51" s="52">
        <v>2300</v>
      </c>
      <c r="G51" s="50">
        <f t="shared" si="0"/>
        <v>172.5</v>
      </c>
      <c r="H51" s="50">
        <f t="shared" si="1"/>
        <v>327.75</v>
      </c>
      <c r="I51" s="51">
        <f>(IF((O51="No"),(IF((($F51*12)-9000)&lt;0,0,(IF((($F51*12)-9000)&gt;20000,(5000*5%+5000*10%+5000*15%+5000*20%+((($F51*12)-9000)-20000)*25%),IF((($F51*12)-9000)&gt;15000,(5000*5%+5000*10%+5000*15%+((($F51*12)-9000)-15000)*20%),IF((($F51*12)-9000)&gt;10000,(5000*5%+5000*10%+((($F51*12)-9000)-10000)*15%),IF((($F51*12)-9000)&gt;5000,(5000*5%+((($F51*12)-9000)-5000)*10%),IF((($F51*12)-9000)&lt;5000,(($F51*12)-9000)*5%)))))))),((IF((($F51*12)-18000)&lt;0,0,(IF((($F51*12)-18000)&gt;20000,(5000*5%+5000*10%+5000*15%+5000*20%+((($F51*12)-18000)-20000)*25%),IF((($F51*12)-18000)&gt;15000,(5000*5%+5000*10%+5000*15%+((($F51*12)-18000)-15000)*20%),IF((($F51*12)-18000)&gt;10000,(5000*5%+5000*10%+((($F51*12)-18000)-10000)*15%),IF((($F51*12)-18000)&gt;5000,(5000*5%+((($F51*12)-18000)-5000)*10%),IF((($F51*12)-18000)&lt;5000,(($F51*12)-18000)*5%))))))))))/12)</f>
        <v>185</v>
      </c>
      <c r="J51" s="52"/>
      <c r="K51" s="52"/>
      <c r="L51" s="53"/>
      <c r="M51" s="54">
        <f t="shared" si="3"/>
        <v>1942.5</v>
      </c>
      <c r="N51" s="55">
        <f t="shared" si="4"/>
        <v>2627.75</v>
      </c>
      <c r="O51" s="33" t="s">
        <v>54</v>
      </c>
      <c r="P51" s="60" t="s">
        <v>176</v>
      </c>
      <c r="Q51" s="60" t="s">
        <v>174</v>
      </c>
      <c r="R51" s="141" t="s">
        <v>59</v>
      </c>
      <c r="S51" s="62">
        <v>111111</v>
      </c>
      <c r="T51" s="60" t="s">
        <v>177</v>
      </c>
    </row>
    <row r="52" spans="1:22" x14ac:dyDescent="0.2">
      <c r="A52" s="45">
        <v>48</v>
      </c>
      <c r="B52" s="71" t="s">
        <v>178</v>
      </c>
      <c r="C52" s="46" t="s">
        <v>179</v>
      </c>
      <c r="D52" s="76" t="s">
        <v>180</v>
      </c>
      <c r="E52" s="74">
        <v>480</v>
      </c>
      <c r="F52" s="52">
        <v>480</v>
      </c>
      <c r="G52" s="50">
        <f t="shared" si="0"/>
        <v>36</v>
      </c>
      <c r="H52" s="50">
        <f t="shared" si="1"/>
        <v>68.399999999999991</v>
      </c>
      <c r="I52" s="51">
        <f t="shared" ref="I52:I103" si="5">(IF((O52="No"),(IF((($F52*12)-9000)&lt;0,0,(IF((($F52*12)-9000)&gt;20000,(5000*5%+5000*10%+5000*15%+5000*20%+((($F52*12)-9000)-20000)*25%),IF((($F52*12)-9000)&gt;15000,(5000*5%+5000*10%+5000*15%+((($F52*12)-9000)-15000)*20%),IF((($F52*12)-9000)&gt;10000,(5000*5%+5000*10%+((($F52*12)-9000)-10000)*15%),IF((($F52*12)-9000)&gt;5000,(5000*5%+((($F52*12)-9000)-5000)*10%),IF((($F52*12)-9000)&lt;5000,(($F52*12)-9000)*5%)))))))),((IF((($F52*12)-18000)&lt;0,0,(IF((($F52*12)-18000)&gt;20000,(5000*5%+5000*10%+5000*15%+5000*20%+((($F52*12)-18000)-20000)*25%),IF((($F52*12)-18000)&gt;15000,(5000*5%+5000*10%+5000*15%+((($F52*12)-18000)-15000)*20%),IF((($F52*12)-18000)&gt;10000,(5000*5%+5000*10%+((($F52*12)-18000)-10000)*15%),IF((($F52*12)-18000)&gt;5000,(5000*5%+((($F52*12)-18000)-5000)*10%),IF((($F52*12)-18000)&lt;5000,(($F52*12)-18000)*5%))))))))))/12)</f>
        <v>0</v>
      </c>
      <c r="J52" s="52"/>
      <c r="K52" s="52"/>
      <c r="L52" s="53"/>
      <c r="M52" s="54">
        <f t="shared" si="3"/>
        <v>444</v>
      </c>
      <c r="N52" s="55">
        <f t="shared" si="4"/>
        <v>548.4</v>
      </c>
      <c r="O52" s="33" t="s">
        <v>54</v>
      </c>
      <c r="P52" s="60" t="s">
        <v>178</v>
      </c>
      <c r="Q52" s="60" t="s">
        <v>179</v>
      </c>
      <c r="R52" s="141" t="s">
        <v>59</v>
      </c>
      <c r="S52" s="62">
        <v>329111</v>
      </c>
      <c r="T52" s="60" t="s">
        <v>56</v>
      </c>
    </row>
    <row r="53" spans="1:22" x14ac:dyDescent="0.2">
      <c r="A53" s="45">
        <v>49</v>
      </c>
      <c r="B53" s="71" t="s">
        <v>181</v>
      </c>
      <c r="C53" s="46" t="s">
        <v>182</v>
      </c>
      <c r="D53" s="76" t="s">
        <v>183</v>
      </c>
      <c r="E53" s="74">
        <v>2000</v>
      </c>
      <c r="F53" s="52">
        <v>2000</v>
      </c>
      <c r="G53" s="50">
        <f t="shared" si="0"/>
        <v>150</v>
      </c>
      <c r="H53" s="50">
        <f t="shared" si="1"/>
        <v>285</v>
      </c>
      <c r="I53" s="51">
        <f t="shared" si="5"/>
        <v>125</v>
      </c>
      <c r="J53" s="52"/>
      <c r="K53" s="52"/>
      <c r="L53" s="53"/>
      <c r="M53" s="54">
        <f t="shared" si="3"/>
        <v>1725</v>
      </c>
      <c r="N53" s="55">
        <f t="shared" si="4"/>
        <v>2285</v>
      </c>
      <c r="O53" s="33" t="s">
        <v>54</v>
      </c>
      <c r="P53" s="60" t="s">
        <v>181</v>
      </c>
      <c r="Q53" s="60" t="s">
        <v>182</v>
      </c>
      <c r="R53" s="141" t="s">
        <v>59</v>
      </c>
      <c r="S53" s="62">
        <v>323111</v>
      </c>
      <c r="T53" s="60" t="s">
        <v>56</v>
      </c>
    </row>
    <row r="54" spans="1:22" x14ac:dyDescent="0.2">
      <c r="A54" s="45">
        <v>50</v>
      </c>
      <c r="B54" s="71" t="s">
        <v>184</v>
      </c>
      <c r="C54" s="46" t="s">
        <v>185</v>
      </c>
      <c r="D54" s="75" t="s">
        <v>186</v>
      </c>
      <c r="E54" s="74">
        <v>816</v>
      </c>
      <c r="F54" s="52">
        <v>816</v>
      </c>
      <c r="G54" s="50">
        <f t="shared" si="0"/>
        <v>61.199999999999996</v>
      </c>
      <c r="H54" s="50">
        <f t="shared" si="1"/>
        <v>116.27999999999999</v>
      </c>
      <c r="I54" s="51">
        <f t="shared" si="5"/>
        <v>3.3000000000000003</v>
      </c>
      <c r="J54" s="52"/>
      <c r="K54" s="52"/>
      <c r="L54" s="53"/>
      <c r="M54" s="54">
        <f t="shared" si="3"/>
        <v>751.5</v>
      </c>
      <c r="N54" s="55">
        <f t="shared" si="4"/>
        <v>932.28</v>
      </c>
      <c r="O54" s="33" t="s">
        <v>54</v>
      </c>
      <c r="P54" s="60" t="s">
        <v>184</v>
      </c>
      <c r="Q54" s="60" t="s">
        <v>185</v>
      </c>
      <c r="R54" s="141" t="s">
        <v>59</v>
      </c>
      <c r="S54" s="62">
        <v>329111</v>
      </c>
      <c r="T54" s="60" t="s">
        <v>56</v>
      </c>
    </row>
    <row r="55" spans="1:22" ht="15" thickBot="1" x14ac:dyDescent="0.25">
      <c r="A55" s="45">
        <v>51</v>
      </c>
      <c r="B55" s="71" t="s">
        <v>187</v>
      </c>
      <c r="C55" s="46" t="s">
        <v>188</v>
      </c>
      <c r="D55" s="75" t="s">
        <v>189</v>
      </c>
      <c r="E55" s="74">
        <v>600</v>
      </c>
      <c r="F55" s="52">
        <v>600</v>
      </c>
      <c r="G55" s="50">
        <f t="shared" si="0"/>
        <v>45</v>
      </c>
      <c r="H55" s="50">
        <f t="shared" si="1"/>
        <v>85.499999999999986</v>
      </c>
      <c r="I55" s="51">
        <f t="shared" si="5"/>
        <v>0</v>
      </c>
      <c r="J55" s="52"/>
      <c r="K55" s="52"/>
      <c r="L55" s="53"/>
      <c r="M55" s="54">
        <f t="shared" si="3"/>
        <v>555</v>
      </c>
      <c r="N55" s="55">
        <f t="shared" si="4"/>
        <v>685.5</v>
      </c>
      <c r="O55" s="33" t="s">
        <v>54</v>
      </c>
      <c r="P55" s="60" t="s">
        <v>187</v>
      </c>
      <c r="Q55" s="60" t="s">
        <v>188</v>
      </c>
      <c r="R55" s="141" t="s">
        <v>59</v>
      </c>
      <c r="S55" s="62">
        <v>131111</v>
      </c>
      <c r="T55" s="60" t="s">
        <v>164</v>
      </c>
    </row>
    <row r="56" spans="1:22" x14ac:dyDescent="0.2">
      <c r="A56" s="63">
        <v>52</v>
      </c>
      <c r="B56" s="71" t="s">
        <v>190</v>
      </c>
      <c r="C56" s="46" t="s">
        <v>191</v>
      </c>
      <c r="D56" s="75" t="s">
        <v>186</v>
      </c>
      <c r="E56" s="74">
        <v>900</v>
      </c>
      <c r="F56" s="52">
        <v>900</v>
      </c>
      <c r="G56" s="50">
        <f t="shared" si="0"/>
        <v>67.5</v>
      </c>
      <c r="H56" s="50">
        <f t="shared" si="1"/>
        <v>128.25</v>
      </c>
      <c r="I56" s="51">
        <f>(IF((O56="No"),(IF((($F56*12)-9000)&lt;0,0,(IF((($F56*12)-9000)&gt;20000,(5000*5%+5000*10%+5000*15%+5000*20%+((($F56*12)-9000)-20000)*25%),IF((($F56*12)-9000)&gt;15000,(5000*5%+5000*10%+5000*15%+((($F56*12)-9000)-15000)*20%),IF((($F56*12)-9000)&gt;10000,(5000*5%+5000*10%+((($F56*12)-9000)-10000)*15%),IF((($F56*12)-9000)&gt;5000,(5000*5%+((($F56*12)-9000)-5000)*10%),IF((($F56*12)-9000)&lt;5000,(($F56*12)-9000)*5%)))))))),((IF((($F56*12)-18000)&lt;0,0,(IF((($F56*12)-18000)&gt;20000,(5000*5%+5000*10%+5000*15%+5000*20%+((($F56*12)-18000)-20000)*25%),IF((($F56*12)-18000)&gt;15000,(5000*5%+5000*10%+5000*15%+((($F56*12)-18000)-15000)*20%),IF((($F56*12)-18000)&gt;10000,(5000*5%+5000*10%+((($F56*12)-18000)-10000)*15%),IF((($F56*12)-18000)&gt;5000,(5000*5%+((($F56*12)-18000)-5000)*10%),IF((($F56*12)-18000)&lt;5000,(($F56*12)-18000)*5%))))))))))/12)</f>
        <v>7.5</v>
      </c>
      <c r="J56" s="52"/>
      <c r="K56" s="52">
        <v>0</v>
      </c>
      <c r="L56" s="53"/>
      <c r="M56" s="54">
        <f t="shared" si="3"/>
        <v>825</v>
      </c>
      <c r="N56" s="55">
        <f t="shared" si="4"/>
        <v>1028.25</v>
      </c>
      <c r="O56" s="33" t="s">
        <v>54</v>
      </c>
      <c r="P56" s="60" t="s">
        <v>190</v>
      </c>
      <c r="Q56" s="60" t="s">
        <v>191</v>
      </c>
      <c r="R56" s="141" t="s">
        <v>59</v>
      </c>
      <c r="S56" s="62">
        <v>329111</v>
      </c>
      <c r="T56" s="60" t="s">
        <v>56</v>
      </c>
    </row>
    <row r="57" spans="1:22" x14ac:dyDescent="0.2">
      <c r="A57" s="45">
        <v>53</v>
      </c>
      <c r="B57" s="71" t="s">
        <v>192</v>
      </c>
      <c r="C57" s="46" t="s">
        <v>193</v>
      </c>
      <c r="D57" s="75" t="s">
        <v>194</v>
      </c>
      <c r="E57" s="74">
        <v>1843</v>
      </c>
      <c r="F57" s="52">
        <v>1843</v>
      </c>
      <c r="G57" s="50">
        <f t="shared" si="0"/>
        <v>138.22499999999999</v>
      </c>
      <c r="H57" s="50">
        <f t="shared" si="1"/>
        <v>262.6275</v>
      </c>
      <c r="I57" s="51">
        <f t="shared" si="5"/>
        <v>101.45</v>
      </c>
      <c r="J57" s="52"/>
      <c r="K57" s="52"/>
      <c r="L57" s="53"/>
      <c r="M57" s="54">
        <f t="shared" si="3"/>
        <v>1603.325</v>
      </c>
      <c r="N57" s="55">
        <f t="shared" si="4"/>
        <v>2105.6275000000001</v>
      </c>
      <c r="O57" s="33" t="s">
        <v>54</v>
      </c>
      <c r="P57" s="60" t="s">
        <v>192</v>
      </c>
      <c r="Q57" s="60" t="s">
        <v>193</v>
      </c>
      <c r="R57" s="141" t="s">
        <v>59</v>
      </c>
      <c r="S57" s="62">
        <v>323111</v>
      </c>
      <c r="T57" s="60" t="s">
        <v>56</v>
      </c>
    </row>
    <row r="58" spans="1:22" x14ac:dyDescent="0.2">
      <c r="A58" s="45">
        <v>54</v>
      </c>
      <c r="B58" s="71" t="s">
        <v>195</v>
      </c>
      <c r="C58" s="46" t="s">
        <v>196</v>
      </c>
      <c r="D58" s="75" t="s">
        <v>186</v>
      </c>
      <c r="E58" s="74">
        <v>945</v>
      </c>
      <c r="F58" s="52">
        <v>945</v>
      </c>
      <c r="G58" s="50">
        <f t="shared" si="0"/>
        <v>70.875</v>
      </c>
      <c r="H58" s="50">
        <f t="shared" si="1"/>
        <v>134.66249999999999</v>
      </c>
      <c r="I58" s="51">
        <f t="shared" si="5"/>
        <v>9.75</v>
      </c>
      <c r="J58" s="52"/>
      <c r="K58" s="52"/>
      <c r="L58" s="53"/>
      <c r="M58" s="54">
        <f t="shared" si="3"/>
        <v>864.375</v>
      </c>
      <c r="N58" s="55">
        <f t="shared" si="4"/>
        <v>1079.6624999999999</v>
      </c>
      <c r="O58" s="33" t="s">
        <v>54</v>
      </c>
      <c r="P58" s="60" t="s">
        <v>195</v>
      </c>
      <c r="Q58" s="60" t="s">
        <v>196</v>
      </c>
      <c r="R58" s="141" t="s">
        <v>59</v>
      </c>
      <c r="S58" s="62">
        <v>329111</v>
      </c>
      <c r="T58" s="60" t="s">
        <v>56</v>
      </c>
    </row>
    <row r="59" spans="1:22" x14ac:dyDescent="0.2">
      <c r="A59" s="45">
        <v>55</v>
      </c>
      <c r="B59" s="71" t="s">
        <v>197</v>
      </c>
      <c r="C59" s="46" t="s">
        <v>198</v>
      </c>
      <c r="D59" s="75" t="s">
        <v>199</v>
      </c>
      <c r="E59" s="74">
        <v>1420</v>
      </c>
      <c r="F59" s="52">
        <v>1420</v>
      </c>
      <c r="G59" s="50">
        <f t="shared" si="0"/>
        <v>106.5</v>
      </c>
      <c r="H59" s="50">
        <f t="shared" si="1"/>
        <v>202.35</v>
      </c>
      <c r="I59" s="51">
        <f t="shared" si="5"/>
        <v>46.166666666666664</v>
      </c>
      <c r="J59" s="52"/>
      <c r="K59" s="52"/>
      <c r="L59" s="53"/>
      <c r="M59" s="54">
        <f t="shared" si="3"/>
        <v>1267.3333333333333</v>
      </c>
      <c r="N59" s="55">
        <f t="shared" si="4"/>
        <v>1622.35</v>
      </c>
      <c r="O59" s="33" t="s">
        <v>54</v>
      </c>
      <c r="P59" s="60" t="s">
        <v>197</v>
      </c>
      <c r="Q59" s="60" t="s">
        <v>198</v>
      </c>
      <c r="R59" s="141" t="s">
        <v>55</v>
      </c>
      <c r="S59" s="62">
        <v>323111</v>
      </c>
      <c r="T59" s="60" t="s">
        <v>56</v>
      </c>
    </row>
    <row r="60" spans="1:22" x14ac:dyDescent="0.2">
      <c r="A60" s="45">
        <v>56</v>
      </c>
      <c r="B60" s="71" t="s">
        <v>200</v>
      </c>
      <c r="C60" s="46" t="s">
        <v>201</v>
      </c>
      <c r="D60" s="75" t="s">
        <v>133</v>
      </c>
      <c r="E60" s="74">
        <v>1846</v>
      </c>
      <c r="F60" s="74">
        <v>1846</v>
      </c>
      <c r="G60" s="50">
        <f t="shared" si="0"/>
        <v>138.44999999999999</v>
      </c>
      <c r="H60" s="50">
        <f t="shared" si="1"/>
        <v>263.05499999999995</v>
      </c>
      <c r="I60" s="51">
        <f t="shared" si="5"/>
        <v>101.89999999999999</v>
      </c>
      <c r="J60" s="52"/>
      <c r="K60" s="52"/>
      <c r="L60" s="53"/>
      <c r="M60" s="54">
        <f t="shared" si="3"/>
        <v>1605.65</v>
      </c>
      <c r="N60" s="55">
        <f t="shared" si="4"/>
        <v>2109.0549999999998</v>
      </c>
      <c r="O60" s="33" t="s">
        <v>54</v>
      </c>
      <c r="P60" s="60" t="s">
        <v>200</v>
      </c>
      <c r="Q60" s="60" t="s">
        <v>201</v>
      </c>
      <c r="R60" s="141" t="s">
        <v>59</v>
      </c>
      <c r="S60" s="62">
        <v>323111</v>
      </c>
      <c r="T60" s="60" t="s">
        <v>56</v>
      </c>
    </row>
    <row r="61" spans="1:22" ht="15" thickBot="1" x14ac:dyDescent="0.25">
      <c r="A61" s="45">
        <v>57</v>
      </c>
      <c r="B61" s="71" t="s">
        <v>452</v>
      </c>
      <c r="C61" s="46" t="s">
        <v>453</v>
      </c>
      <c r="D61" s="75" t="s">
        <v>454</v>
      </c>
      <c r="E61" s="74">
        <v>1917</v>
      </c>
      <c r="F61" s="74">
        <v>1917</v>
      </c>
      <c r="G61" s="50">
        <f t="shared" si="0"/>
        <v>143.77500000000001</v>
      </c>
      <c r="H61" s="50">
        <f t="shared" si="1"/>
        <v>273.17249999999996</v>
      </c>
      <c r="I61" s="51">
        <f t="shared" si="5"/>
        <v>112.55</v>
      </c>
      <c r="J61" s="52"/>
      <c r="K61" s="52"/>
      <c r="L61" s="53"/>
      <c r="M61" s="54">
        <f t="shared" si="3"/>
        <v>1660.675</v>
      </c>
      <c r="N61" s="55">
        <f t="shared" si="4"/>
        <v>2190.1725000000001</v>
      </c>
      <c r="O61" s="33" t="s">
        <v>54</v>
      </c>
      <c r="P61" s="60" t="s">
        <v>452</v>
      </c>
      <c r="Q61" s="60" t="s">
        <v>453</v>
      </c>
      <c r="R61" s="141" t="s">
        <v>59</v>
      </c>
      <c r="S61" s="62">
        <v>329111</v>
      </c>
      <c r="T61" s="60" t="s">
        <v>56</v>
      </c>
    </row>
    <row r="62" spans="1:22" x14ac:dyDescent="0.2">
      <c r="A62" s="63">
        <v>58</v>
      </c>
      <c r="B62" s="71" t="s">
        <v>202</v>
      </c>
      <c r="C62" s="46" t="s">
        <v>203</v>
      </c>
      <c r="D62" s="76" t="s">
        <v>204</v>
      </c>
      <c r="E62" s="74">
        <v>320</v>
      </c>
      <c r="F62" s="52">
        <v>320</v>
      </c>
      <c r="G62" s="50">
        <f t="shared" si="0"/>
        <v>24</v>
      </c>
      <c r="H62" s="50">
        <f t="shared" si="1"/>
        <v>45.599999999999994</v>
      </c>
      <c r="I62" s="51">
        <f t="shared" si="5"/>
        <v>0</v>
      </c>
      <c r="J62" s="52"/>
      <c r="K62" s="52"/>
      <c r="L62" s="53"/>
      <c r="M62" s="54">
        <f t="shared" si="3"/>
        <v>296</v>
      </c>
      <c r="N62" s="55">
        <f t="shared" si="4"/>
        <v>365.6</v>
      </c>
      <c r="O62" s="33" t="s">
        <v>54</v>
      </c>
      <c r="P62" s="60" t="s">
        <v>202</v>
      </c>
      <c r="Q62" s="60" t="s">
        <v>203</v>
      </c>
      <c r="R62" s="141" t="s">
        <v>59</v>
      </c>
      <c r="S62" s="77">
        <v>326111</v>
      </c>
      <c r="T62" s="60" t="s">
        <v>56</v>
      </c>
    </row>
    <row r="63" spans="1:22" x14ac:dyDescent="0.2">
      <c r="A63" s="45">
        <v>59</v>
      </c>
      <c r="B63" s="71" t="s">
        <v>205</v>
      </c>
      <c r="C63" s="46" t="s">
        <v>206</v>
      </c>
      <c r="D63" s="78" t="s">
        <v>207</v>
      </c>
      <c r="E63" s="79">
        <v>1562</v>
      </c>
      <c r="F63" s="52">
        <v>1562</v>
      </c>
      <c r="G63" s="50">
        <f t="shared" si="0"/>
        <v>117.14999999999999</v>
      </c>
      <c r="H63" s="50">
        <f t="shared" si="1"/>
        <v>222.58499999999998</v>
      </c>
      <c r="I63" s="51">
        <f t="shared" si="5"/>
        <v>60.366666666666674</v>
      </c>
      <c r="J63" s="52"/>
      <c r="K63" s="52"/>
      <c r="L63" s="53"/>
      <c r="M63" s="54">
        <f t="shared" si="3"/>
        <v>1384.4833333333333</v>
      </c>
      <c r="N63" s="55">
        <f t="shared" si="4"/>
        <v>1784.585</v>
      </c>
      <c r="O63" s="33" t="s">
        <v>54</v>
      </c>
      <c r="P63" s="60" t="s">
        <v>205</v>
      </c>
      <c r="Q63" s="60" t="s">
        <v>206</v>
      </c>
      <c r="R63" s="141" t="s">
        <v>59</v>
      </c>
      <c r="S63" s="77">
        <v>329111</v>
      </c>
      <c r="T63" s="60" t="s">
        <v>56</v>
      </c>
      <c r="U63">
        <v>1948.9433333333334</v>
      </c>
      <c r="V63">
        <f>U63-M63</f>
        <v>564.46</v>
      </c>
    </row>
    <row r="64" spans="1:22" x14ac:dyDescent="0.2">
      <c r="A64" s="45">
        <v>60</v>
      </c>
      <c r="B64" s="71" t="s">
        <v>208</v>
      </c>
      <c r="C64" s="46" t="s">
        <v>209</v>
      </c>
      <c r="D64" s="76" t="s">
        <v>210</v>
      </c>
      <c r="E64" s="74">
        <v>2980</v>
      </c>
      <c r="F64" s="52">
        <v>2980</v>
      </c>
      <c r="G64" s="50">
        <f t="shared" si="0"/>
        <v>223.5</v>
      </c>
      <c r="H64" s="50">
        <f t="shared" si="1"/>
        <v>424.65</v>
      </c>
      <c r="I64" s="51">
        <f t="shared" si="5"/>
        <v>171</v>
      </c>
      <c r="J64" s="52"/>
      <c r="K64" s="52"/>
      <c r="L64" s="53"/>
      <c r="M64" s="54">
        <f t="shared" si="3"/>
        <v>2585.5</v>
      </c>
      <c r="N64" s="55">
        <f t="shared" si="4"/>
        <v>3404.65</v>
      </c>
      <c r="O64" s="33" t="s">
        <v>69</v>
      </c>
      <c r="P64" s="60" t="s">
        <v>208</v>
      </c>
      <c r="Q64" s="60" t="s">
        <v>209</v>
      </c>
      <c r="R64" s="141" t="s">
        <v>59</v>
      </c>
      <c r="S64" s="77">
        <v>329111</v>
      </c>
      <c r="T64" s="60" t="s">
        <v>56</v>
      </c>
    </row>
    <row r="65" spans="1:20" x14ac:dyDescent="0.2">
      <c r="A65" s="45">
        <v>61</v>
      </c>
      <c r="B65" s="71" t="s">
        <v>211</v>
      </c>
      <c r="C65" s="46" t="s">
        <v>212</v>
      </c>
      <c r="D65" s="76" t="s">
        <v>213</v>
      </c>
      <c r="E65" s="74">
        <v>1350</v>
      </c>
      <c r="F65" s="52">
        <v>1350</v>
      </c>
      <c r="G65" s="50">
        <f t="shared" si="0"/>
        <v>101.25</v>
      </c>
      <c r="H65" s="50">
        <f t="shared" si="1"/>
        <v>192.37499999999997</v>
      </c>
      <c r="I65" s="51">
        <f t="shared" si="5"/>
        <v>39.166666666666664</v>
      </c>
      <c r="J65" s="52"/>
      <c r="K65" s="52"/>
      <c r="L65" s="53"/>
      <c r="M65" s="54">
        <f t="shared" si="3"/>
        <v>1209.5833333333333</v>
      </c>
      <c r="N65" s="55">
        <f t="shared" si="4"/>
        <v>1542.375</v>
      </c>
      <c r="O65" s="33" t="s">
        <v>54</v>
      </c>
      <c r="P65" s="60" t="s">
        <v>211</v>
      </c>
      <c r="Q65" s="60" t="s">
        <v>212</v>
      </c>
      <c r="R65" s="141" t="s">
        <v>59</v>
      </c>
      <c r="S65" s="77">
        <v>329111</v>
      </c>
      <c r="T65" s="60" t="s">
        <v>56</v>
      </c>
    </row>
    <row r="66" spans="1:20" x14ac:dyDescent="0.2">
      <c r="A66" s="45">
        <v>62</v>
      </c>
      <c r="B66" s="71" t="s">
        <v>214</v>
      </c>
      <c r="C66" s="46" t="s">
        <v>215</v>
      </c>
      <c r="D66" s="76" t="s">
        <v>216</v>
      </c>
      <c r="E66" s="74">
        <v>1846</v>
      </c>
      <c r="F66" s="52">
        <v>1846</v>
      </c>
      <c r="G66" s="50">
        <f t="shared" si="0"/>
        <v>138.44999999999999</v>
      </c>
      <c r="H66" s="50">
        <f t="shared" si="1"/>
        <v>263.05499999999995</v>
      </c>
      <c r="I66" s="51">
        <f t="shared" si="5"/>
        <v>101.89999999999999</v>
      </c>
      <c r="J66" s="52"/>
      <c r="K66" s="52"/>
      <c r="L66" s="53"/>
      <c r="M66" s="54">
        <f t="shared" si="3"/>
        <v>1605.65</v>
      </c>
      <c r="N66" s="55">
        <f t="shared" si="4"/>
        <v>2109.0549999999998</v>
      </c>
      <c r="O66" s="33" t="s">
        <v>54</v>
      </c>
      <c r="P66" s="60" t="s">
        <v>214</v>
      </c>
      <c r="Q66" s="60" t="s">
        <v>215</v>
      </c>
      <c r="R66" s="141" t="s">
        <v>55</v>
      </c>
      <c r="S66" s="77">
        <v>325311</v>
      </c>
      <c r="T66" s="60" t="s">
        <v>56</v>
      </c>
    </row>
    <row r="67" spans="1:20" ht="15" thickBot="1" x14ac:dyDescent="0.25">
      <c r="A67" s="45">
        <v>63</v>
      </c>
      <c r="B67" s="71" t="s">
        <v>217</v>
      </c>
      <c r="C67" s="46" t="s">
        <v>218</v>
      </c>
      <c r="D67" s="76" t="s">
        <v>219</v>
      </c>
      <c r="E67" s="74">
        <v>1275</v>
      </c>
      <c r="F67" s="52">
        <v>1275</v>
      </c>
      <c r="G67" s="50">
        <f t="shared" si="0"/>
        <v>95.625</v>
      </c>
      <c r="H67" s="50">
        <f t="shared" si="1"/>
        <v>181.68749999999997</v>
      </c>
      <c r="I67" s="51">
        <f t="shared" si="5"/>
        <v>31.666666666666668</v>
      </c>
      <c r="J67" s="52"/>
      <c r="K67" s="52"/>
      <c r="L67" s="53"/>
      <c r="M67" s="54">
        <f t="shared" si="3"/>
        <v>1147.7083333333333</v>
      </c>
      <c r="N67" s="55">
        <f t="shared" si="4"/>
        <v>1456.6875</v>
      </c>
      <c r="O67" s="33" t="s">
        <v>54</v>
      </c>
      <c r="P67" s="60" t="s">
        <v>217</v>
      </c>
      <c r="Q67" s="60" t="s">
        <v>218</v>
      </c>
      <c r="R67" s="141" t="s">
        <v>55</v>
      </c>
      <c r="S67" s="77">
        <v>325311</v>
      </c>
      <c r="T67" s="60" t="s">
        <v>56</v>
      </c>
    </row>
    <row r="68" spans="1:20" x14ac:dyDescent="0.2">
      <c r="A68" s="63">
        <v>64</v>
      </c>
      <c r="B68" s="71" t="s">
        <v>220</v>
      </c>
      <c r="C68" s="46" t="s">
        <v>221</v>
      </c>
      <c r="D68" s="76" t="s">
        <v>222</v>
      </c>
      <c r="E68" s="74">
        <v>2485</v>
      </c>
      <c r="F68" s="52">
        <v>2485</v>
      </c>
      <c r="G68" s="50">
        <f t="shared" si="0"/>
        <v>186.375</v>
      </c>
      <c r="H68" s="50">
        <f t="shared" si="1"/>
        <v>354.11249999999995</v>
      </c>
      <c r="I68" s="51">
        <f t="shared" si="5"/>
        <v>225.41666666666666</v>
      </c>
      <c r="J68" s="52"/>
      <c r="K68" s="52"/>
      <c r="L68" s="53"/>
      <c r="M68" s="54">
        <f t="shared" si="3"/>
        <v>2073.2083333333335</v>
      </c>
      <c r="N68" s="55">
        <f t="shared" si="4"/>
        <v>2839.1125000000002</v>
      </c>
      <c r="O68" s="33" t="s">
        <v>54</v>
      </c>
      <c r="P68" s="60" t="s">
        <v>220</v>
      </c>
      <c r="Q68" s="60" t="s">
        <v>221</v>
      </c>
      <c r="R68" s="141" t="s">
        <v>223</v>
      </c>
      <c r="S68" s="77">
        <v>323111</v>
      </c>
      <c r="T68" s="60" t="s">
        <v>56</v>
      </c>
    </row>
    <row r="69" spans="1:20" x14ac:dyDescent="0.2">
      <c r="A69" s="45">
        <v>65</v>
      </c>
      <c r="B69" s="71" t="s">
        <v>224</v>
      </c>
      <c r="C69" s="46" t="s">
        <v>225</v>
      </c>
      <c r="D69" s="76" t="s">
        <v>226</v>
      </c>
      <c r="E69" s="74">
        <v>530</v>
      </c>
      <c r="F69" s="52">
        <v>530</v>
      </c>
      <c r="G69" s="50">
        <f t="shared" si="0"/>
        <v>39.75</v>
      </c>
      <c r="H69" s="50">
        <f t="shared" si="1"/>
        <v>75.524999999999991</v>
      </c>
      <c r="I69" s="51">
        <f t="shared" si="5"/>
        <v>0</v>
      </c>
      <c r="J69" s="52"/>
      <c r="K69" s="52"/>
      <c r="L69" s="53"/>
      <c r="M69" s="54">
        <f t="shared" si="3"/>
        <v>490.25</v>
      </c>
      <c r="N69" s="55">
        <f t="shared" si="4"/>
        <v>605.52499999999998</v>
      </c>
      <c r="O69" s="33" t="s">
        <v>54</v>
      </c>
      <c r="P69" s="60" t="s">
        <v>224</v>
      </c>
      <c r="Q69" s="60" t="s">
        <v>225</v>
      </c>
      <c r="R69" s="141" t="s">
        <v>55</v>
      </c>
      <c r="S69" s="77">
        <v>323111</v>
      </c>
      <c r="T69" s="60" t="s">
        <v>56</v>
      </c>
    </row>
    <row r="70" spans="1:20" x14ac:dyDescent="0.2">
      <c r="A70" s="45">
        <v>66</v>
      </c>
      <c r="B70" s="71" t="s">
        <v>227</v>
      </c>
      <c r="C70" s="46" t="s">
        <v>228</v>
      </c>
      <c r="D70" s="76" t="s">
        <v>229</v>
      </c>
      <c r="E70" s="74">
        <v>2600</v>
      </c>
      <c r="F70" s="52">
        <v>2600</v>
      </c>
      <c r="G70" s="50">
        <f t="shared" ref="G70:G103" si="6">E70*0.075</f>
        <v>195</v>
      </c>
      <c r="H70" s="50">
        <f t="shared" ref="H70:H103" si="7">E70*0.1425</f>
        <v>370.49999999999994</v>
      </c>
      <c r="I70" s="51">
        <f t="shared" si="5"/>
        <v>254.16666666666666</v>
      </c>
      <c r="J70" s="52"/>
      <c r="K70" s="52"/>
      <c r="L70" s="53"/>
      <c r="M70" s="54">
        <f t="shared" ref="M70:M103" si="8">(F70+K70)-SUM(G70,I70,J70,L70)</f>
        <v>2150.8333333333335</v>
      </c>
      <c r="N70" s="55">
        <f t="shared" ref="N70:N103" si="9">F70+H70</f>
        <v>2970.5</v>
      </c>
      <c r="O70" s="33" t="s">
        <v>54</v>
      </c>
      <c r="P70" s="60" t="s">
        <v>227</v>
      </c>
      <c r="Q70" s="60" t="s">
        <v>228</v>
      </c>
      <c r="R70" s="141" t="s">
        <v>55</v>
      </c>
      <c r="S70" s="77">
        <v>325311</v>
      </c>
      <c r="T70" s="60" t="s">
        <v>56</v>
      </c>
    </row>
    <row r="71" spans="1:20" x14ac:dyDescent="0.2">
      <c r="A71" s="45">
        <v>67</v>
      </c>
      <c r="B71" s="71" t="s">
        <v>444</v>
      </c>
      <c r="C71" s="46" t="s">
        <v>445</v>
      </c>
      <c r="D71" s="76" t="s">
        <v>446</v>
      </c>
      <c r="E71" s="74">
        <v>1562</v>
      </c>
      <c r="F71" s="52">
        <v>1562</v>
      </c>
      <c r="G71" s="50">
        <f t="shared" si="6"/>
        <v>117.14999999999999</v>
      </c>
      <c r="H71" s="50">
        <f t="shared" si="7"/>
        <v>222.58499999999998</v>
      </c>
      <c r="I71" s="51">
        <f t="shared" si="5"/>
        <v>60.366666666666674</v>
      </c>
      <c r="J71" s="52"/>
      <c r="K71" s="52"/>
      <c r="L71" s="53"/>
      <c r="M71" s="54">
        <f t="shared" si="8"/>
        <v>1384.4833333333333</v>
      </c>
      <c r="N71" s="55">
        <f t="shared" si="9"/>
        <v>1784.585</v>
      </c>
      <c r="O71" s="33" t="s">
        <v>54</v>
      </c>
      <c r="P71" s="60" t="s">
        <v>444</v>
      </c>
      <c r="Q71" s="60" t="s">
        <v>445</v>
      </c>
      <c r="R71" s="141" t="s">
        <v>55</v>
      </c>
      <c r="S71" s="77">
        <v>325311</v>
      </c>
      <c r="T71" s="60" t="s">
        <v>56</v>
      </c>
    </row>
    <row r="72" spans="1:20" x14ac:dyDescent="0.2">
      <c r="A72" s="45">
        <v>68</v>
      </c>
      <c r="B72" s="71" t="s">
        <v>456</v>
      </c>
      <c r="C72" s="46" t="s">
        <v>457</v>
      </c>
      <c r="D72" s="76" t="s">
        <v>458</v>
      </c>
      <c r="E72" s="74">
        <v>960</v>
      </c>
      <c r="F72" s="52">
        <v>960</v>
      </c>
      <c r="G72" s="50">
        <f t="shared" si="6"/>
        <v>72</v>
      </c>
      <c r="H72" s="50">
        <f t="shared" si="7"/>
        <v>136.79999999999998</v>
      </c>
      <c r="I72" s="51">
        <f t="shared" si="5"/>
        <v>10.5</v>
      </c>
      <c r="J72" s="52"/>
      <c r="K72" s="52"/>
      <c r="L72" s="53"/>
      <c r="M72" s="54">
        <f t="shared" si="8"/>
        <v>877.5</v>
      </c>
      <c r="N72" s="55">
        <f t="shared" si="9"/>
        <v>1096.8</v>
      </c>
      <c r="O72" s="33" t="s">
        <v>54</v>
      </c>
      <c r="P72" s="60" t="s">
        <v>456</v>
      </c>
      <c r="Q72" s="60" t="s">
        <v>457</v>
      </c>
      <c r="R72" s="141" t="s">
        <v>55</v>
      </c>
      <c r="S72" s="77">
        <v>325311</v>
      </c>
      <c r="T72" s="60" t="s">
        <v>56</v>
      </c>
    </row>
    <row r="73" spans="1:20" ht="15" thickBot="1" x14ac:dyDescent="0.25">
      <c r="A73" s="45">
        <v>69</v>
      </c>
      <c r="B73" s="71" t="s">
        <v>230</v>
      </c>
      <c r="C73" s="46" t="s">
        <v>231</v>
      </c>
      <c r="D73" s="76" t="s">
        <v>232</v>
      </c>
      <c r="E73" s="74">
        <v>1100</v>
      </c>
      <c r="F73" s="52">
        <v>1100</v>
      </c>
      <c r="G73" s="50">
        <f t="shared" si="6"/>
        <v>82.5</v>
      </c>
      <c r="H73" s="50">
        <f t="shared" si="7"/>
        <v>156.75</v>
      </c>
      <c r="I73" s="51">
        <f t="shared" si="5"/>
        <v>17.5</v>
      </c>
      <c r="J73" s="52"/>
      <c r="K73" s="52"/>
      <c r="L73" s="53"/>
      <c r="M73" s="54">
        <f t="shared" si="8"/>
        <v>1000</v>
      </c>
      <c r="N73" s="55">
        <f t="shared" si="9"/>
        <v>1256.75</v>
      </c>
      <c r="O73" s="33" t="s">
        <v>54</v>
      </c>
      <c r="P73" s="60" t="s">
        <v>230</v>
      </c>
      <c r="Q73" s="60" t="s">
        <v>231</v>
      </c>
      <c r="R73" s="141"/>
      <c r="S73" s="77">
        <v>325311</v>
      </c>
      <c r="T73" s="60" t="s">
        <v>56</v>
      </c>
    </row>
    <row r="74" spans="1:20" x14ac:dyDescent="0.2">
      <c r="A74" s="63">
        <v>70</v>
      </c>
      <c r="B74" s="71" t="s">
        <v>233</v>
      </c>
      <c r="C74" s="46" t="s">
        <v>234</v>
      </c>
      <c r="D74" s="76" t="s">
        <v>204</v>
      </c>
      <c r="E74" s="80">
        <v>395</v>
      </c>
      <c r="F74" s="81">
        <v>395</v>
      </c>
      <c r="G74" s="50">
        <f t="shared" si="6"/>
        <v>29.625</v>
      </c>
      <c r="H74" s="50">
        <f t="shared" si="7"/>
        <v>56.287499999999994</v>
      </c>
      <c r="I74" s="51">
        <f t="shared" si="5"/>
        <v>0</v>
      </c>
      <c r="J74" s="52"/>
      <c r="K74" s="52"/>
      <c r="L74" s="53"/>
      <c r="M74" s="54">
        <f t="shared" si="8"/>
        <v>365.375</v>
      </c>
      <c r="N74" s="55">
        <f t="shared" si="9"/>
        <v>451.28750000000002</v>
      </c>
      <c r="O74" s="33" t="s">
        <v>54</v>
      </c>
      <c r="P74" s="60" t="s">
        <v>233</v>
      </c>
      <c r="Q74" s="60" t="s">
        <v>234</v>
      </c>
      <c r="R74" s="141"/>
      <c r="S74" s="77">
        <v>329111</v>
      </c>
      <c r="T74" s="60" t="s">
        <v>56</v>
      </c>
    </row>
    <row r="75" spans="1:20" x14ac:dyDescent="0.2">
      <c r="A75" s="45">
        <v>71</v>
      </c>
      <c r="B75" s="71" t="s">
        <v>235</v>
      </c>
      <c r="C75" s="46" t="s">
        <v>236</v>
      </c>
      <c r="D75" s="76" t="s">
        <v>204</v>
      </c>
      <c r="E75" s="80">
        <v>395</v>
      </c>
      <c r="F75" s="81">
        <v>395</v>
      </c>
      <c r="G75" s="50">
        <f t="shared" si="6"/>
        <v>29.625</v>
      </c>
      <c r="H75" s="50">
        <f t="shared" si="7"/>
        <v>56.287499999999994</v>
      </c>
      <c r="I75" s="51">
        <f t="shared" si="5"/>
        <v>0</v>
      </c>
      <c r="J75" s="52"/>
      <c r="K75" s="52"/>
      <c r="L75" s="53"/>
      <c r="M75" s="54">
        <f t="shared" si="8"/>
        <v>365.375</v>
      </c>
      <c r="N75" s="55">
        <f t="shared" si="9"/>
        <v>451.28750000000002</v>
      </c>
      <c r="O75" s="33" t="s">
        <v>54</v>
      </c>
      <c r="P75" s="60" t="s">
        <v>235</v>
      </c>
      <c r="Q75" s="60" t="s">
        <v>236</v>
      </c>
      <c r="R75" s="141"/>
      <c r="S75" s="77">
        <v>329111</v>
      </c>
      <c r="T75" s="60" t="s">
        <v>56</v>
      </c>
    </row>
    <row r="76" spans="1:20" x14ac:dyDescent="0.2">
      <c r="A76" s="45">
        <v>72</v>
      </c>
      <c r="B76" s="71" t="s">
        <v>237</v>
      </c>
      <c r="C76" s="46" t="s">
        <v>238</v>
      </c>
      <c r="D76" s="76" t="s">
        <v>239</v>
      </c>
      <c r="E76" s="74">
        <v>3000</v>
      </c>
      <c r="F76" s="52">
        <v>3000</v>
      </c>
      <c r="G76" s="50">
        <f t="shared" si="6"/>
        <v>225</v>
      </c>
      <c r="H76" s="50">
        <f t="shared" si="7"/>
        <v>427.49999999999994</v>
      </c>
      <c r="I76" s="51">
        <f t="shared" si="5"/>
        <v>175</v>
      </c>
      <c r="J76" s="52"/>
      <c r="K76" s="52"/>
      <c r="L76" s="53"/>
      <c r="M76" s="54">
        <f t="shared" si="8"/>
        <v>2600</v>
      </c>
      <c r="N76" s="55">
        <f t="shared" si="9"/>
        <v>3427.5</v>
      </c>
      <c r="O76" s="33" t="s">
        <v>69</v>
      </c>
      <c r="P76" s="60" t="s">
        <v>237</v>
      </c>
      <c r="Q76" s="60" t="s">
        <v>238</v>
      </c>
      <c r="R76" s="141"/>
      <c r="S76" s="77">
        <v>323111</v>
      </c>
      <c r="T76" s="60" t="s">
        <v>240</v>
      </c>
    </row>
    <row r="77" spans="1:20" x14ac:dyDescent="0.2">
      <c r="A77" s="45">
        <v>73</v>
      </c>
      <c r="B77" s="71" t="s">
        <v>241</v>
      </c>
      <c r="C77" s="46" t="s">
        <v>242</v>
      </c>
      <c r="D77" s="76" t="s">
        <v>243</v>
      </c>
      <c r="E77" s="74">
        <v>1136</v>
      </c>
      <c r="F77" s="52">
        <v>1136</v>
      </c>
      <c r="G77" s="50">
        <f t="shared" si="6"/>
        <v>85.2</v>
      </c>
      <c r="H77" s="50">
        <f t="shared" si="7"/>
        <v>161.88</v>
      </c>
      <c r="I77" s="51">
        <f t="shared" si="5"/>
        <v>19.3</v>
      </c>
      <c r="J77" s="52"/>
      <c r="K77" s="52"/>
      <c r="L77" s="53"/>
      <c r="M77" s="54">
        <f t="shared" si="8"/>
        <v>1031.5</v>
      </c>
      <c r="N77" s="55">
        <f t="shared" si="9"/>
        <v>1297.8800000000001</v>
      </c>
      <c r="O77" s="33" t="s">
        <v>54</v>
      </c>
      <c r="P77" s="60" t="s">
        <v>241</v>
      </c>
      <c r="Q77" s="60" t="s">
        <v>242</v>
      </c>
      <c r="R77" s="141"/>
      <c r="S77" s="77">
        <v>327111</v>
      </c>
      <c r="T77" s="60" t="s">
        <v>56</v>
      </c>
    </row>
    <row r="78" spans="1:20" x14ac:dyDescent="0.2">
      <c r="A78" s="45">
        <v>74</v>
      </c>
      <c r="B78" s="71" t="s">
        <v>244</v>
      </c>
      <c r="C78" s="46" t="s">
        <v>245</v>
      </c>
      <c r="D78" s="76" t="s">
        <v>133</v>
      </c>
      <c r="E78" s="74">
        <v>1455</v>
      </c>
      <c r="F78" s="52">
        <v>1455</v>
      </c>
      <c r="G78" s="50">
        <f t="shared" si="6"/>
        <v>109.125</v>
      </c>
      <c r="H78" s="50">
        <f t="shared" si="7"/>
        <v>207.33749999999998</v>
      </c>
      <c r="I78" s="51">
        <f t="shared" si="5"/>
        <v>0</v>
      </c>
      <c r="J78" s="52"/>
      <c r="K78" s="52"/>
      <c r="L78" s="53"/>
      <c r="M78" s="54">
        <f t="shared" si="8"/>
        <v>1345.875</v>
      </c>
      <c r="N78" s="55">
        <f t="shared" si="9"/>
        <v>1662.3375000000001</v>
      </c>
      <c r="O78" s="33" t="s">
        <v>69</v>
      </c>
      <c r="P78" s="60" t="s">
        <v>244</v>
      </c>
      <c r="Q78" s="60" t="s">
        <v>245</v>
      </c>
      <c r="R78" s="141"/>
      <c r="S78" s="77">
        <v>323111</v>
      </c>
      <c r="T78" s="60" t="s">
        <v>56</v>
      </c>
    </row>
    <row r="79" spans="1:20" ht="15" thickBot="1" x14ac:dyDescent="0.25">
      <c r="A79" s="45">
        <v>75</v>
      </c>
      <c r="B79" s="71" t="s">
        <v>246</v>
      </c>
      <c r="C79" s="46" t="s">
        <v>247</v>
      </c>
      <c r="D79" s="76" t="s">
        <v>216</v>
      </c>
      <c r="E79" s="74">
        <v>1915</v>
      </c>
      <c r="F79" s="52">
        <v>1915</v>
      </c>
      <c r="G79" s="50">
        <f t="shared" si="6"/>
        <v>143.625</v>
      </c>
      <c r="H79" s="50">
        <f t="shared" si="7"/>
        <v>272.88749999999999</v>
      </c>
      <c r="I79" s="51">
        <f t="shared" si="5"/>
        <v>20.75</v>
      </c>
      <c r="J79" s="52"/>
      <c r="K79" s="52"/>
      <c r="L79" s="53"/>
      <c r="M79" s="54">
        <f t="shared" si="8"/>
        <v>1750.625</v>
      </c>
      <c r="N79" s="55">
        <f t="shared" si="9"/>
        <v>2187.8874999999998</v>
      </c>
      <c r="O79" s="33" t="s">
        <v>69</v>
      </c>
      <c r="P79" s="60" t="s">
        <v>246</v>
      </c>
      <c r="Q79" s="60" t="s">
        <v>247</v>
      </c>
      <c r="R79" s="141"/>
      <c r="S79" s="77">
        <v>325311</v>
      </c>
      <c r="T79" s="60" t="s">
        <v>56</v>
      </c>
    </row>
    <row r="80" spans="1:20" x14ac:dyDescent="0.2">
      <c r="A80" s="63">
        <v>76</v>
      </c>
      <c r="B80" s="84" t="s">
        <v>248</v>
      </c>
      <c r="C80" s="46" t="s">
        <v>249</v>
      </c>
      <c r="D80" s="76" t="s">
        <v>250</v>
      </c>
      <c r="E80" s="74">
        <v>1207</v>
      </c>
      <c r="F80" s="52">
        <v>1207</v>
      </c>
      <c r="G80" s="50">
        <f t="shared" si="6"/>
        <v>90.524999999999991</v>
      </c>
      <c r="H80" s="50">
        <f t="shared" si="7"/>
        <v>171.99749999999997</v>
      </c>
      <c r="I80" s="51">
        <f t="shared" si="5"/>
        <v>24.866666666666664</v>
      </c>
      <c r="J80" s="52"/>
      <c r="K80" s="52"/>
      <c r="L80" s="53"/>
      <c r="M80" s="54">
        <f t="shared" si="8"/>
        <v>1091.6083333333333</v>
      </c>
      <c r="N80" s="55">
        <f t="shared" si="9"/>
        <v>1378.9974999999999</v>
      </c>
      <c r="O80" s="33" t="s">
        <v>54</v>
      </c>
      <c r="P80" s="60" t="s">
        <v>248</v>
      </c>
      <c r="Q80" s="60" t="s">
        <v>249</v>
      </c>
      <c r="R80" s="85"/>
      <c r="S80" s="122">
        <v>325411</v>
      </c>
      <c r="T80" t="s">
        <v>56</v>
      </c>
    </row>
    <row r="81" spans="1:20" x14ac:dyDescent="0.2">
      <c r="A81" s="45">
        <v>77</v>
      </c>
      <c r="B81" s="84" t="s">
        <v>251</v>
      </c>
      <c r="C81" s="46" t="s">
        <v>252</v>
      </c>
      <c r="D81" s="76" t="s">
        <v>253</v>
      </c>
      <c r="E81" s="74">
        <v>1560</v>
      </c>
      <c r="F81" s="52">
        <v>1560</v>
      </c>
      <c r="G81" s="50">
        <f t="shared" si="6"/>
        <v>117</v>
      </c>
      <c r="H81" s="50">
        <f t="shared" si="7"/>
        <v>222.29999999999998</v>
      </c>
      <c r="I81" s="51">
        <f t="shared" si="5"/>
        <v>60.166666666666664</v>
      </c>
      <c r="J81" s="52"/>
      <c r="K81" s="52"/>
      <c r="L81" s="53"/>
      <c r="M81" s="54">
        <f t="shared" si="8"/>
        <v>1382.8333333333333</v>
      </c>
      <c r="N81" s="55">
        <f t="shared" si="9"/>
        <v>1782.3</v>
      </c>
      <c r="O81" s="33" t="s">
        <v>54</v>
      </c>
      <c r="P81" s="60" t="s">
        <v>251</v>
      </c>
      <c r="Q81" s="60" t="s">
        <v>252</v>
      </c>
      <c r="R81" s="85"/>
      <c r="S81" s="122">
        <v>318223</v>
      </c>
      <c r="T81" t="s">
        <v>254</v>
      </c>
    </row>
    <row r="82" spans="1:20" x14ac:dyDescent="0.2">
      <c r="A82" s="45">
        <v>78</v>
      </c>
      <c r="B82" s="84" t="s">
        <v>255</v>
      </c>
      <c r="C82" s="46" t="s">
        <v>256</v>
      </c>
      <c r="D82" s="76" t="s">
        <v>257</v>
      </c>
      <c r="E82" s="74">
        <v>2500</v>
      </c>
      <c r="F82" s="52">
        <v>2500</v>
      </c>
      <c r="G82" s="50">
        <f t="shared" si="6"/>
        <v>187.5</v>
      </c>
      <c r="H82" s="50">
        <f t="shared" si="7"/>
        <v>356.24999999999994</v>
      </c>
      <c r="I82" s="51">
        <f t="shared" si="5"/>
        <v>87.5</v>
      </c>
      <c r="J82" s="52"/>
      <c r="K82" s="52"/>
      <c r="L82" s="53"/>
      <c r="M82" s="54">
        <f t="shared" si="8"/>
        <v>2225</v>
      </c>
      <c r="N82" s="55">
        <f t="shared" si="9"/>
        <v>2856.25</v>
      </c>
      <c r="O82" s="33" t="s">
        <v>69</v>
      </c>
      <c r="P82" s="60" t="s">
        <v>255</v>
      </c>
      <c r="Q82" s="60" t="s">
        <v>256</v>
      </c>
      <c r="R82" s="85"/>
      <c r="S82" s="122">
        <v>323111</v>
      </c>
      <c r="T82" t="s">
        <v>240</v>
      </c>
    </row>
    <row r="83" spans="1:20" x14ac:dyDescent="0.2">
      <c r="A83" s="45">
        <v>79</v>
      </c>
      <c r="B83" s="84" t="s">
        <v>258</v>
      </c>
      <c r="C83" s="46" t="s">
        <v>259</v>
      </c>
      <c r="D83" s="76" t="s">
        <v>260</v>
      </c>
      <c r="E83" s="74">
        <v>700</v>
      </c>
      <c r="F83" s="52">
        <v>700</v>
      </c>
      <c r="G83" s="50">
        <f t="shared" si="6"/>
        <v>52.5</v>
      </c>
      <c r="H83" s="50">
        <f t="shared" si="7"/>
        <v>99.749999999999986</v>
      </c>
      <c r="I83" s="51">
        <f t="shared" si="5"/>
        <v>0</v>
      </c>
      <c r="J83" s="52"/>
      <c r="K83" s="52"/>
      <c r="L83" s="53"/>
      <c r="M83" s="54">
        <f t="shared" si="8"/>
        <v>647.5</v>
      </c>
      <c r="N83" s="55">
        <f t="shared" si="9"/>
        <v>799.75</v>
      </c>
      <c r="O83" s="33" t="s">
        <v>54</v>
      </c>
      <c r="P83" s="60" t="s">
        <v>258</v>
      </c>
      <c r="Q83" s="60" t="s">
        <v>259</v>
      </c>
      <c r="R83" s="85"/>
      <c r="S83" s="122">
        <v>131111</v>
      </c>
      <c r="T83" t="s">
        <v>164</v>
      </c>
    </row>
    <row r="84" spans="1:20" x14ac:dyDescent="0.2">
      <c r="A84" s="45">
        <v>80</v>
      </c>
      <c r="B84" s="84" t="s">
        <v>261</v>
      </c>
      <c r="C84" s="46" t="s">
        <v>262</v>
      </c>
      <c r="D84" s="76" t="s">
        <v>263</v>
      </c>
      <c r="E84" s="74">
        <v>1560</v>
      </c>
      <c r="F84" s="52">
        <v>1560</v>
      </c>
      <c r="G84" s="50">
        <f t="shared" si="6"/>
        <v>117</v>
      </c>
      <c r="H84" s="50">
        <f t="shared" si="7"/>
        <v>222.29999999999998</v>
      </c>
      <c r="I84" s="51">
        <f t="shared" si="5"/>
        <v>3</v>
      </c>
      <c r="J84" s="52"/>
      <c r="K84" s="52"/>
      <c r="L84" s="53"/>
      <c r="M84" s="54">
        <f t="shared" si="8"/>
        <v>1440</v>
      </c>
      <c r="N84" s="55">
        <f t="shared" si="9"/>
        <v>1782.3</v>
      </c>
      <c r="O84" s="33" t="s">
        <v>69</v>
      </c>
      <c r="P84" s="60" t="s">
        <v>261</v>
      </c>
      <c r="Q84" s="60" t="s">
        <v>262</v>
      </c>
      <c r="R84" s="85"/>
      <c r="S84" s="122">
        <v>329111</v>
      </c>
      <c r="T84" t="s">
        <v>264</v>
      </c>
    </row>
    <row r="85" spans="1:20" ht="15" thickBot="1" x14ac:dyDescent="0.25">
      <c r="A85" s="45">
        <v>81</v>
      </c>
      <c r="B85" s="84" t="s">
        <v>265</v>
      </c>
      <c r="C85" s="46" t="s">
        <v>266</v>
      </c>
      <c r="D85" s="76" t="s">
        <v>263</v>
      </c>
      <c r="E85" s="74">
        <v>1560</v>
      </c>
      <c r="F85" s="52">
        <v>1560</v>
      </c>
      <c r="G85" s="50">
        <f t="shared" si="6"/>
        <v>117</v>
      </c>
      <c r="H85" s="50">
        <f t="shared" si="7"/>
        <v>222.29999999999998</v>
      </c>
      <c r="I85" s="51">
        <f t="shared" si="5"/>
        <v>3</v>
      </c>
      <c r="J85" s="52"/>
      <c r="K85" s="52"/>
      <c r="L85" s="53"/>
      <c r="M85" s="54">
        <f t="shared" si="8"/>
        <v>1440</v>
      </c>
      <c r="N85" s="55">
        <f t="shared" si="9"/>
        <v>1782.3</v>
      </c>
      <c r="O85" s="33" t="s">
        <v>69</v>
      </c>
      <c r="P85" s="60" t="s">
        <v>265</v>
      </c>
      <c r="Q85" s="60" t="s">
        <v>266</v>
      </c>
      <c r="R85" s="85"/>
      <c r="S85" s="122">
        <v>329111</v>
      </c>
      <c r="T85" t="s">
        <v>264</v>
      </c>
    </row>
    <row r="86" spans="1:20" x14ac:dyDescent="0.2">
      <c r="A86" s="63">
        <v>82</v>
      </c>
      <c r="B86" s="84" t="s">
        <v>267</v>
      </c>
      <c r="C86" s="46" t="s">
        <v>268</v>
      </c>
      <c r="D86" s="76" t="s">
        <v>269</v>
      </c>
      <c r="E86" s="74">
        <v>1420</v>
      </c>
      <c r="F86" s="52">
        <v>1420</v>
      </c>
      <c r="G86" s="50">
        <f t="shared" si="6"/>
        <v>106.5</v>
      </c>
      <c r="H86" s="50">
        <f t="shared" si="7"/>
        <v>202.35</v>
      </c>
      <c r="I86" s="51">
        <f t="shared" si="5"/>
        <v>46.166666666666664</v>
      </c>
      <c r="J86" s="52"/>
      <c r="K86" s="52"/>
      <c r="L86" s="53"/>
      <c r="M86" s="54">
        <f t="shared" si="8"/>
        <v>1267.3333333333333</v>
      </c>
      <c r="N86" s="55">
        <f t="shared" si="9"/>
        <v>1622.35</v>
      </c>
      <c r="O86" s="33" t="s">
        <v>54</v>
      </c>
      <c r="P86" s="60" t="s">
        <v>267</v>
      </c>
      <c r="Q86" s="60" t="s">
        <v>268</v>
      </c>
      <c r="R86" s="85"/>
      <c r="S86" s="122">
        <v>329111</v>
      </c>
      <c r="T86" t="s">
        <v>264</v>
      </c>
    </row>
    <row r="87" spans="1:20" x14ac:dyDescent="0.2">
      <c r="A87" s="45">
        <v>83</v>
      </c>
      <c r="B87" s="84" t="s">
        <v>270</v>
      </c>
      <c r="C87" s="46" t="s">
        <v>271</v>
      </c>
      <c r="D87" s="76" t="s">
        <v>250</v>
      </c>
      <c r="E87" s="74">
        <v>1207</v>
      </c>
      <c r="F87" s="52">
        <v>1207</v>
      </c>
      <c r="G87" s="50">
        <f t="shared" si="6"/>
        <v>90.524999999999991</v>
      </c>
      <c r="H87" s="50">
        <f t="shared" si="7"/>
        <v>171.99749999999997</v>
      </c>
      <c r="I87" s="51">
        <f t="shared" si="5"/>
        <v>24.866666666666664</v>
      </c>
      <c r="J87" s="52"/>
      <c r="K87" s="52"/>
      <c r="L87" s="53"/>
      <c r="M87" s="54">
        <f t="shared" si="8"/>
        <v>1091.6083333333333</v>
      </c>
      <c r="N87" s="55">
        <f t="shared" si="9"/>
        <v>1378.9974999999999</v>
      </c>
      <c r="O87" s="33" t="s">
        <v>54</v>
      </c>
      <c r="P87" s="60" t="s">
        <v>270</v>
      </c>
      <c r="Q87" s="60" t="s">
        <v>271</v>
      </c>
      <c r="R87" s="85"/>
      <c r="S87" s="122">
        <v>325411</v>
      </c>
      <c r="T87" t="s">
        <v>56</v>
      </c>
    </row>
    <row r="88" spans="1:20" x14ac:dyDescent="0.2">
      <c r="A88" s="45">
        <v>84</v>
      </c>
      <c r="B88" s="84" t="s">
        <v>272</v>
      </c>
      <c r="C88" s="46" t="s">
        <v>273</v>
      </c>
      <c r="D88" s="76" t="s">
        <v>274</v>
      </c>
      <c r="E88" s="74">
        <v>675</v>
      </c>
      <c r="F88" s="52">
        <v>675</v>
      </c>
      <c r="G88" s="50">
        <f t="shared" si="6"/>
        <v>50.625</v>
      </c>
      <c r="H88" s="50">
        <f t="shared" si="7"/>
        <v>96.187499999999986</v>
      </c>
      <c r="I88" s="51">
        <f t="shared" si="5"/>
        <v>0</v>
      </c>
      <c r="J88" s="52"/>
      <c r="K88" s="52"/>
      <c r="L88" s="53"/>
      <c r="M88" s="54">
        <f t="shared" si="8"/>
        <v>624.375</v>
      </c>
      <c r="N88" s="55">
        <f t="shared" si="9"/>
        <v>771.1875</v>
      </c>
      <c r="O88" s="33" t="s">
        <v>54</v>
      </c>
      <c r="P88" s="60" t="s">
        <v>272</v>
      </c>
      <c r="Q88" s="60" t="s">
        <v>273</v>
      </c>
      <c r="R88" s="85"/>
      <c r="S88" s="122">
        <v>325411</v>
      </c>
      <c r="T88" t="s">
        <v>275</v>
      </c>
    </row>
    <row r="89" spans="1:20" x14ac:dyDescent="0.2">
      <c r="A89" s="45">
        <v>85</v>
      </c>
      <c r="B89" s="84" t="s">
        <v>276</v>
      </c>
      <c r="C89" s="46" t="s">
        <v>277</v>
      </c>
      <c r="D89" s="76" t="s">
        <v>278</v>
      </c>
      <c r="E89" s="74">
        <v>530</v>
      </c>
      <c r="F89" s="52">
        <v>530</v>
      </c>
      <c r="G89" s="50">
        <f t="shared" si="6"/>
        <v>39.75</v>
      </c>
      <c r="H89" s="50">
        <f t="shared" si="7"/>
        <v>75.524999999999991</v>
      </c>
      <c r="I89" s="51">
        <f t="shared" si="5"/>
        <v>0</v>
      </c>
      <c r="J89" s="52"/>
      <c r="K89" s="52"/>
      <c r="L89" s="53"/>
      <c r="M89" s="54">
        <f t="shared" si="8"/>
        <v>490.25</v>
      </c>
      <c r="N89" s="55">
        <f t="shared" si="9"/>
        <v>605.52499999999998</v>
      </c>
      <c r="O89" s="33" t="s">
        <v>54</v>
      </c>
      <c r="P89" s="60" t="s">
        <v>276</v>
      </c>
      <c r="Q89" s="60" t="s">
        <v>277</v>
      </c>
      <c r="R89" s="85"/>
      <c r="S89" s="122">
        <v>325411</v>
      </c>
      <c r="T89" t="s">
        <v>275</v>
      </c>
    </row>
    <row r="90" spans="1:20" x14ac:dyDescent="0.2">
      <c r="A90" s="45">
        <v>86</v>
      </c>
      <c r="B90" s="84" t="s">
        <v>279</v>
      </c>
      <c r="C90" s="46" t="s">
        <v>280</v>
      </c>
      <c r="D90" s="76" t="s">
        <v>250</v>
      </c>
      <c r="E90" s="74">
        <v>1280</v>
      </c>
      <c r="F90" s="52">
        <v>1280</v>
      </c>
      <c r="G90" s="50">
        <f t="shared" si="6"/>
        <v>96</v>
      </c>
      <c r="H90" s="50">
        <f t="shared" si="7"/>
        <v>182.39999999999998</v>
      </c>
      <c r="I90" s="51">
        <f t="shared" si="5"/>
        <v>32.166666666666664</v>
      </c>
      <c r="J90" s="52"/>
      <c r="K90" s="52"/>
      <c r="L90" s="53"/>
      <c r="M90" s="54">
        <f t="shared" si="8"/>
        <v>1151.8333333333333</v>
      </c>
      <c r="N90" s="55">
        <f t="shared" si="9"/>
        <v>1462.4</v>
      </c>
      <c r="O90" s="33" t="s">
        <v>54</v>
      </c>
      <c r="P90" s="60" t="s">
        <v>279</v>
      </c>
      <c r="Q90" s="60" t="s">
        <v>281</v>
      </c>
      <c r="R90" s="85"/>
      <c r="S90" s="122">
        <v>325311</v>
      </c>
      <c r="T90" t="s">
        <v>56</v>
      </c>
    </row>
    <row r="91" spans="1:20" ht="15" thickBot="1" x14ac:dyDescent="0.25">
      <c r="A91" s="45">
        <v>87</v>
      </c>
      <c r="B91" s="84" t="s">
        <v>282</v>
      </c>
      <c r="C91" s="46" t="s">
        <v>283</v>
      </c>
      <c r="D91" s="76" t="s">
        <v>284</v>
      </c>
      <c r="E91" s="74">
        <v>850</v>
      </c>
      <c r="F91" s="52">
        <v>850</v>
      </c>
      <c r="G91" s="50">
        <f t="shared" si="6"/>
        <v>63.75</v>
      </c>
      <c r="H91" s="50">
        <f t="shared" si="7"/>
        <v>121.12499999999999</v>
      </c>
      <c r="I91" s="51">
        <f t="shared" si="5"/>
        <v>5</v>
      </c>
      <c r="J91" s="52"/>
      <c r="K91" s="52"/>
      <c r="L91" s="53"/>
      <c r="M91" s="54">
        <f t="shared" si="8"/>
        <v>781.25</v>
      </c>
      <c r="N91" s="55">
        <f t="shared" si="9"/>
        <v>971.125</v>
      </c>
      <c r="O91" s="33" t="s">
        <v>54</v>
      </c>
      <c r="P91" s="88" t="s">
        <v>282</v>
      </c>
      <c r="Q91" s="88" t="s">
        <v>283</v>
      </c>
      <c r="R91" s="85"/>
      <c r="S91" s="122">
        <v>323111</v>
      </c>
      <c r="T91" t="s">
        <v>56</v>
      </c>
    </row>
    <row r="92" spans="1:20" x14ac:dyDescent="0.2">
      <c r="A92" s="63">
        <v>88</v>
      </c>
      <c r="B92" s="84" t="s">
        <v>285</v>
      </c>
      <c r="C92" s="46" t="s">
        <v>286</v>
      </c>
      <c r="D92" s="76" t="s">
        <v>287</v>
      </c>
      <c r="E92" s="74">
        <v>550</v>
      </c>
      <c r="F92" s="52">
        <v>550</v>
      </c>
      <c r="G92" s="50">
        <f t="shared" si="6"/>
        <v>41.25</v>
      </c>
      <c r="H92" s="50">
        <f t="shared" si="7"/>
        <v>78.375</v>
      </c>
      <c r="I92" s="51">
        <f t="shared" si="5"/>
        <v>0</v>
      </c>
      <c r="J92" s="52"/>
      <c r="K92" s="52"/>
      <c r="L92" s="53"/>
      <c r="M92" s="54">
        <f t="shared" si="8"/>
        <v>508.75</v>
      </c>
      <c r="N92" s="55">
        <f t="shared" si="9"/>
        <v>628.375</v>
      </c>
      <c r="O92" s="33" t="s">
        <v>54</v>
      </c>
      <c r="P92" s="88" t="s">
        <v>285</v>
      </c>
      <c r="Q92" s="88" t="s">
        <v>286</v>
      </c>
      <c r="R92" s="85"/>
      <c r="S92" s="122">
        <v>323111</v>
      </c>
      <c r="T92" t="s">
        <v>56</v>
      </c>
    </row>
    <row r="93" spans="1:20" x14ac:dyDescent="0.2">
      <c r="A93" s="45">
        <v>89</v>
      </c>
      <c r="B93" s="84" t="s">
        <v>288</v>
      </c>
      <c r="C93" s="46" t="s">
        <v>289</v>
      </c>
      <c r="D93" s="76" t="s">
        <v>287</v>
      </c>
      <c r="E93" s="74">
        <v>550</v>
      </c>
      <c r="F93" s="52">
        <v>550</v>
      </c>
      <c r="G93" s="50">
        <f t="shared" si="6"/>
        <v>41.25</v>
      </c>
      <c r="H93" s="50">
        <f t="shared" si="7"/>
        <v>78.375</v>
      </c>
      <c r="I93" s="51">
        <f t="shared" si="5"/>
        <v>0</v>
      </c>
      <c r="J93" s="52"/>
      <c r="K93" s="52"/>
      <c r="L93" s="53"/>
      <c r="M93" s="54">
        <f t="shared" si="8"/>
        <v>508.75</v>
      </c>
      <c r="N93" s="55">
        <f t="shared" si="9"/>
        <v>628.375</v>
      </c>
      <c r="O93" s="33" t="s">
        <v>54</v>
      </c>
      <c r="P93" s="88" t="s">
        <v>288</v>
      </c>
      <c r="Q93" s="88" t="s">
        <v>289</v>
      </c>
      <c r="R93" s="85"/>
      <c r="S93" s="122">
        <v>323111</v>
      </c>
      <c r="T93" t="s">
        <v>56</v>
      </c>
    </row>
    <row r="94" spans="1:20" ht="15" x14ac:dyDescent="0.25">
      <c r="A94" s="45">
        <v>90</v>
      </c>
      <c r="B94" s="84" t="s">
        <v>290</v>
      </c>
      <c r="C94" s="89" t="s">
        <v>291</v>
      </c>
      <c r="D94" s="76" t="s">
        <v>65</v>
      </c>
      <c r="E94" s="74">
        <v>850</v>
      </c>
      <c r="F94" s="52">
        <v>850</v>
      </c>
      <c r="G94" s="50">
        <f t="shared" si="6"/>
        <v>63.75</v>
      </c>
      <c r="H94" s="50">
        <f t="shared" si="7"/>
        <v>121.12499999999999</v>
      </c>
      <c r="I94" s="51">
        <f t="shared" si="5"/>
        <v>5</v>
      </c>
      <c r="J94" s="52"/>
      <c r="K94" s="52"/>
      <c r="L94" s="53"/>
      <c r="M94" s="54">
        <f t="shared" si="8"/>
        <v>781.25</v>
      </c>
      <c r="N94" s="55">
        <f t="shared" si="9"/>
        <v>971.125</v>
      </c>
      <c r="O94" s="33" t="s">
        <v>54</v>
      </c>
      <c r="P94" s="84" t="s">
        <v>290</v>
      </c>
      <c r="Q94" s="89" t="s">
        <v>291</v>
      </c>
      <c r="R94" s="85"/>
      <c r="S94" s="90">
        <v>323111</v>
      </c>
      <c r="T94" s="60" t="s">
        <v>56</v>
      </c>
    </row>
    <row r="95" spans="1:20" ht="15" x14ac:dyDescent="0.25">
      <c r="A95" s="45">
        <v>91</v>
      </c>
      <c r="B95" s="84" t="s">
        <v>292</v>
      </c>
      <c r="C95" s="89" t="s">
        <v>293</v>
      </c>
      <c r="D95" s="76" t="s">
        <v>65</v>
      </c>
      <c r="E95" s="74">
        <v>850</v>
      </c>
      <c r="F95" s="52">
        <v>850</v>
      </c>
      <c r="G95" s="50">
        <f t="shared" si="6"/>
        <v>63.75</v>
      </c>
      <c r="H95" s="50">
        <f t="shared" si="7"/>
        <v>121.12499999999999</v>
      </c>
      <c r="I95" s="51">
        <f t="shared" si="5"/>
        <v>5</v>
      </c>
      <c r="J95" s="52"/>
      <c r="K95" s="52"/>
      <c r="L95" s="53"/>
      <c r="M95" s="54">
        <f t="shared" si="8"/>
        <v>781.25</v>
      </c>
      <c r="N95" s="55">
        <f t="shared" si="9"/>
        <v>971.125</v>
      </c>
      <c r="O95" s="33" t="s">
        <v>54</v>
      </c>
      <c r="P95" s="84" t="s">
        <v>292</v>
      </c>
      <c r="Q95" s="89" t="s">
        <v>293</v>
      </c>
      <c r="R95" s="85"/>
      <c r="S95" s="90">
        <v>323111</v>
      </c>
      <c r="T95" s="60" t="s">
        <v>56</v>
      </c>
    </row>
    <row r="96" spans="1:20" ht="15" x14ac:dyDescent="0.25">
      <c r="A96" s="45">
        <v>92</v>
      </c>
      <c r="B96" s="84" t="s">
        <v>294</v>
      </c>
      <c r="C96" s="89" t="s">
        <v>295</v>
      </c>
      <c r="D96" s="76" t="s">
        <v>296</v>
      </c>
      <c r="E96" s="74">
        <v>1170</v>
      </c>
      <c r="F96" s="52">
        <v>1170</v>
      </c>
      <c r="G96" s="50">
        <f t="shared" si="6"/>
        <v>87.75</v>
      </c>
      <c r="H96" s="50">
        <f t="shared" si="7"/>
        <v>166.72499999999999</v>
      </c>
      <c r="I96" s="51">
        <f t="shared" si="5"/>
        <v>21.166666666666668</v>
      </c>
      <c r="J96" s="52"/>
      <c r="K96" s="52"/>
      <c r="L96" s="53"/>
      <c r="M96" s="54">
        <f t="shared" si="8"/>
        <v>1061.0833333333333</v>
      </c>
      <c r="N96" s="55">
        <f t="shared" si="9"/>
        <v>1336.7249999999999</v>
      </c>
      <c r="O96" s="33" t="s">
        <v>54</v>
      </c>
      <c r="P96" s="84" t="s">
        <v>294</v>
      </c>
      <c r="Q96" s="89" t="s">
        <v>295</v>
      </c>
      <c r="R96" s="85"/>
      <c r="S96" s="90">
        <v>326111</v>
      </c>
      <c r="T96" s="91" t="s">
        <v>56</v>
      </c>
    </row>
    <row r="97" spans="1:20" ht="15.75" thickBot="1" x14ac:dyDescent="0.3">
      <c r="A97" s="45">
        <v>93</v>
      </c>
      <c r="B97" s="84" t="s">
        <v>297</v>
      </c>
      <c r="C97" s="89" t="s">
        <v>298</v>
      </c>
      <c r="D97" s="76" t="s">
        <v>299</v>
      </c>
      <c r="E97" s="74">
        <v>2770</v>
      </c>
      <c r="F97" s="52">
        <v>2770</v>
      </c>
      <c r="G97" s="50">
        <f t="shared" si="6"/>
        <v>207.75</v>
      </c>
      <c r="H97" s="50">
        <f t="shared" si="7"/>
        <v>394.72499999999997</v>
      </c>
      <c r="I97" s="51">
        <f t="shared" si="5"/>
        <v>129</v>
      </c>
      <c r="J97" s="52"/>
      <c r="K97" s="52"/>
      <c r="L97" s="53"/>
      <c r="M97" s="54">
        <f t="shared" si="8"/>
        <v>2433.25</v>
      </c>
      <c r="N97" s="55">
        <f t="shared" si="9"/>
        <v>3164.7249999999999</v>
      </c>
      <c r="O97" s="33" t="s">
        <v>69</v>
      </c>
      <c r="P97" s="84" t="s">
        <v>297</v>
      </c>
      <c r="Q97" s="89" t="s">
        <v>298</v>
      </c>
      <c r="R97" s="85"/>
      <c r="S97" s="90">
        <v>329111</v>
      </c>
      <c r="T97" s="91" t="s">
        <v>56</v>
      </c>
    </row>
    <row r="98" spans="1:20" ht="15" x14ac:dyDescent="0.25">
      <c r="A98" s="63">
        <v>94</v>
      </c>
      <c r="B98" s="84" t="s">
        <v>447</v>
      </c>
      <c r="C98" s="89" t="s">
        <v>448</v>
      </c>
      <c r="D98" s="76" t="s">
        <v>449</v>
      </c>
      <c r="E98" s="74">
        <v>1350</v>
      </c>
      <c r="F98" s="52">
        <v>1350</v>
      </c>
      <c r="G98" s="50">
        <f t="shared" si="6"/>
        <v>101.25</v>
      </c>
      <c r="H98" s="50">
        <f t="shared" si="7"/>
        <v>192.37499999999997</v>
      </c>
      <c r="I98" s="51">
        <f t="shared" si="5"/>
        <v>39.166666666666664</v>
      </c>
      <c r="J98" s="52"/>
      <c r="K98" s="52"/>
      <c r="L98" s="53"/>
      <c r="M98" s="54">
        <f t="shared" si="8"/>
        <v>1209.5833333333333</v>
      </c>
      <c r="N98" s="55">
        <f t="shared" si="9"/>
        <v>1542.375</v>
      </c>
      <c r="O98" s="33" t="s">
        <v>54</v>
      </c>
      <c r="P98" s="84" t="s">
        <v>447</v>
      </c>
      <c r="Q98" s="89" t="s">
        <v>448</v>
      </c>
      <c r="R98" s="85"/>
      <c r="S98" s="77">
        <v>122311</v>
      </c>
      <c r="T98" s="142" t="s">
        <v>110</v>
      </c>
    </row>
    <row r="99" spans="1:20" x14ac:dyDescent="0.2">
      <c r="A99" s="45">
        <v>95</v>
      </c>
      <c r="B99" s="84" t="s">
        <v>300</v>
      </c>
      <c r="C99" s="92" t="s">
        <v>301</v>
      </c>
      <c r="D99" s="76" t="s">
        <v>302</v>
      </c>
      <c r="E99" s="74">
        <v>1420</v>
      </c>
      <c r="F99" s="52">
        <v>1420</v>
      </c>
      <c r="G99" s="50">
        <f t="shared" si="6"/>
        <v>106.5</v>
      </c>
      <c r="H99" s="50">
        <f t="shared" si="7"/>
        <v>202.35</v>
      </c>
      <c r="I99" s="51">
        <f t="shared" si="5"/>
        <v>46.166666666666664</v>
      </c>
      <c r="J99" s="52"/>
      <c r="K99" s="52"/>
      <c r="L99" s="53"/>
      <c r="M99" s="54">
        <f t="shared" si="8"/>
        <v>1267.3333333333333</v>
      </c>
      <c r="N99" s="55">
        <f t="shared" si="9"/>
        <v>1622.35</v>
      </c>
      <c r="O99" s="33" t="s">
        <v>54</v>
      </c>
      <c r="P99" s="84" t="s">
        <v>300</v>
      </c>
      <c r="Q99" s="92" t="s">
        <v>301</v>
      </c>
      <c r="R99" s="85"/>
      <c r="S99" s="90">
        <v>325311</v>
      </c>
      <c r="T99" s="91" t="s">
        <v>56</v>
      </c>
    </row>
    <row r="100" spans="1:20" x14ac:dyDescent="0.2">
      <c r="A100" s="45">
        <v>96</v>
      </c>
      <c r="B100" s="84" t="s">
        <v>303</v>
      </c>
      <c r="C100" s="92" t="s">
        <v>304</v>
      </c>
      <c r="D100" s="76" t="s">
        <v>302</v>
      </c>
      <c r="E100" s="74">
        <v>1490</v>
      </c>
      <c r="F100" s="52">
        <f>E100/31*30</f>
        <v>1441.9354838709678</v>
      </c>
      <c r="G100" s="50">
        <f t="shared" si="6"/>
        <v>111.75</v>
      </c>
      <c r="H100" s="50">
        <f t="shared" si="7"/>
        <v>212.32499999999999</v>
      </c>
      <c r="I100" s="51">
        <f t="shared" si="5"/>
        <v>48.360215053763454</v>
      </c>
      <c r="J100" s="52"/>
      <c r="K100" s="52"/>
      <c r="L100" s="53"/>
      <c r="M100" s="54">
        <f t="shared" si="8"/>
        <v>1281.8252688172042</v>
      </c>
      <c r="N100" s="55"/>
      <c r="O100" s="33" t="s">
        <v>54</v>
      </c>
      <c r="P100" s="84" t="s">
        <v>303</v>
      </c>
      <c r="Q100" s="92" t="s">
        <v>304</v>
      </c>
      <c r="R100" s="85"/>
      <c r="S100" s="122">
        <v>325311</v>
      </c>
      <c r="T100" s="143" t="s">
        <v>56</v>
      </c>
    </row>
    <row r="101" spans="1:20" x14ac:dyDescent="0.2">
      <c r="A101" s="45">
        <v>97</v>
      </c>
      <c r="B101" s="84" t="s">
        <v>305</v>
      </c>
      <c r="C101" s="92" t="s">
        <v>306</v>
      </c>
      <c r="D101" s="76" t="s">
        <v>307</v>
      </c>
      <c r="E101" s="74">
        <v>1008</v>
      </c>
      <c r="F101" s="52">
        <f>E101/31*23</f>
        <v>747.87096774193549</v>
      </c>
      <c r="G101" s="50">
        <f t="shared" si="6"/>
        <v>75.599999999999994</v>
      </c>
      <c r="H101" s="50">
        <f t="shared" si="7"/>
        <v>143.63999999999999</v>
      </c>
      <c r="I101" s="51">
        <f t="shared" si="5"/>
        <v>0</v>
      </c>
      <c r="J101" s="52"/>
      <c r="K101" s="52"/>
      <c r="L101" s="53"/>
      <c r="M101" s="54">
        <f t="shared" si="8"/>
        <v>672.27096774193546</v>
      </c>
      <c r="N101" s="55"/>
      <c r="O101" s="33" t="s">
        <v>54</v>
      </c>
      <c r="P101" s="84" t="s">
        <v>305</v>
      </c>
      <c r="Q101" s="92" t="s">
        <v>306</v>
      </c>
      <c r="R101" s="85"/>
      <c r="S101" s="122">
        <v>322111</v>
      </c>
      <c r="T101" s="143" t="s">
        <v>56</v>
      </c>
    </row>
    <row r="102" spans="1:20" x14ac:dyDescent="0.2">
      <c r="A102" s="45">
        <v>98</v>
      </c>
      <c r="B102" s="84" t="s">
        <v>308</v>
      </c>
      <c r="C102" s="92" t="s">
        <v>309</v>
      </c>
      <c r="D102" s="76" t="s">
        <v>310</v>
      </c>
      <c r="E102" s="74">
        <v>2130</v>
      </c>
      <c r="F102" s="52">
        <f>E102/31*16</f>
        <v>1099.3548387096773</v>
      </c>
      <c r="G102" s="50">
        <f t="shared" si="6"/>
        <v>159.75</v>
      </c>
      <c r="H102" s="50">
        <f t="shared" si="7"/>
        <v>303.52499999999998</v>
      </c>
      <c r="I102" s="51">
        <f t="shared" si="5"/>
        <v>17.467741935483872</v>
      </c>
      <c r="J102" s="52"/>
      <c r="K102" s="52"/>
      <c r="L102" s="53"/>
      <c r="M102" s="54">
        <f t="shared" si="8"/>
        <v>922.13709677419342</v>
      </c>
      <c r="N102" s="55">
        <f t="shared" si="9"/>
        <v>1402.8798387096772</v>
      </c>
      <c r="O102" s="33" t="s">
        <v>54</v>
      </c>
      <c r="P102" s="84" t="s">
        <v>308</v>
      </c>
      <c r="Q102" s="92" t="s">
        <v>309</v>
      </c>
      <c r="R102" s="85"/>
      <c r="S102" s="122">
        <v>325311</v>
      </c>
      <c r="T102" t="s">
        <v>56</v>
      </c>
    </row>
    <row r="103" spans="1:20" x14ac:dyDescent="0.2">
      <c r="A103" s="71"/>
      <c r="B103" s="147"/>
      <c r="C103" s="147"/>
      <c r="D103" s="76"/>
      <c r="E103" s="74"/>
      <c r="F103" s="52"/>
      <c r="G103" s="50">
        <f t="shared" si="6"/>
        <v>0</v>
      </c>
      <c r="H103" s="50">
        <f t="shared" si="7"/>
        <v>0</v>
      </c>
      <c r="I103" s="51">
        <f t="shared" si="5"/>
        <v>0</v>
      </c>
      <c r="J103" s="52"/>
      <c r="K103" s="52"/>
      <c r="L103" s="53"/>
      <c r="M103" s="137">
        <f t="shared" si="8"/>
        <v>0</v>
      </c>
      <c r="N103" s="55">
        <f t="shared" si="9"/>
        <v>0</v>
      </c>
      <c r="O103" s="33" t="s">
        <v>54</v>
      </c>
      <c r="S103"/>
    </row>
    <row r="104" spans="1:20" x14ac:dyDescent="0.2">
      <c r="A104" s="66"/>
      <c r="B104" s="66"/>
      <c r="C104" s="46"/>
      <c r="D104" s="46"/>
      <c r="E104" s="74"/>
      <c r="F104" s="52"/>
      <c r="G104" s="50"/>
      <c r="H104" s="50"/>
      <c r="I104" s="51"/>
      <c r="J104" s="52"/>
      <c r="K104" s="52"/>
      <c r="L104" s="53"/>
      <c r="M104" s="138"/>
      <c r="N104" s="55"/>
      <c r="S104"/>
    </row>
    <row r="105" spans="1:20" ht="15.75" x14ac:dyDescent="0.25">
      <c r="B105" s="91"/>
      <c r="E105" s="101">
        <f t="shared" ref="E105:N105" si="10">SUM(E5:E104)</f>
        <v>136829</v>
      </c>
      <c r="F105" s="101">
        <f t="shared" si="10"/>
        <v>135490.16129032258</v>
      </c>
      <c r="G105" s="101">
        <f t="shared" si="10"/>
        <v>10262.174999999999</v>
      </c>
      <c r="H105" s="101">
        <f t="shared" si="10"/>
        <v>19498.132499999996</v>
      </c>
      <c r="I105" s="101">
        <f t="shared" si="10"/>
        <v>4706.5446236559164</v>
      </c>
      <c r="J105" s="101">
        <f t="shared" si="10"/>
        <v>0</v>
      </c>
      <c r="K105" s="101">
        <f t="shared" si="10"/>
        <v>0</v>
      </c>
      <c r="L105" s="101">
        <f t="shared" si="10"/>
        <v>0</v>
      </c>
      <c r="M105" s="139">
        <f t="shared" si="10"/>
        <v>120521.44166666662</v>
      </c>
      <c r="N105" s="101">
        <f t="shared" si="10"/>
        <v>152442.52233870968</v>
      </c>
      <c r="S105"/>
    </row>
    <row r="106" spans="1:20" x14ac:dyDescent="0.2">
      <c r="B106" s="91"/>
      <c r="L106" s="102"/>
    </row>
    <row r="107" spans="1:20" ht="15" x14ac:dyDescent="0.25">
      <c r="B107" s="91"/>
      <c r="H107" s="3"/>
      <c r="I107" s="3"/>
      <c r="M107" s="103"/>
      <c r="N107" s="104"/>
    </row>
    <row r="108" spans="1:20" ht="15.75" x14ac:dyDescent="0.25">
      <c r="B108" s="91"/>
      <c r="C108" s="105" t="s">
        <v>393</v>
      </c>
      <c r="D108" s="106">
        <f>F105-D110</f>
        <v>128940.16129032258</v>
      </c>
      <c r="E108" s="107" t="s">
        <v>394</v>
      </c>
      <c r="F108" s="108">
        <v>521101</v>
      </c>
      <c r="G108" t="s">
        <v>59</v>
      </c>
      <c r="H108" s="109">
        <v>0.7</v>
      </c>
      <c r="I108" s="3">
        <v>651101</v>
      </c>
      <c r="J108" t="s">
        <v>395</v>
      </c>
      <c r="M108" s="103"/>
    </row>
    <row r="109" spans="1:20" ht="15" x14ac:dyDescent="0.25">
      <c r="B109" s="91"/>
      <c r="D109" s="106">
        <f>H105-D111</f>
        <v>18564.757499999996</v>
      </c>
      <c r="E109" s="107" t="s">
        <v>396</v>
      </c>
      <c r="F109" s="108">
        <v>521107</v>
      </c>
      <c r="G109" t="s">
        <v>59</v>
      </c>
      <c r="H109" s="110" t="s">
        <v>397</v>
      </c>
      <c r="I109" s="110" t="s">
        <v>398</v>
      </c>
      <c r="O109" s="3">
        <v>51111101</v>
      </c>
      <c r="S109" s="111">
        <v>51111107</v>
      </c>
    </row>
    <row r="110" spans="1:20" x14ac:dyDescent="0.2">
      <c r="B110" s="91"/>
      <c r="D110" s="107">
        <f>F25+F46+F51+F55+F83</f>
        <v>6550</v>
      </c>
      <c r="E110" s="107" t="s">
        <v>399</v>
      </c>
      <c r="F110" s="108">
        <v>621101</v>
      </c>
      <c r="G110" t="s">
        <v>400</v>
      </c>
      <c r="H110" s="146">
        <v>651102</v>
      </c>
      <c r="I110" s="113" t="s">
        <v>401</v>
      </c>
      <c r="J110" s="33"/>
      <c r="K110" s="33"/>
      <c r="L110">
        <v>51111101</v>
      </c>
      <c r="M110" s="62">
        <v>111111</v>
      </c>
      <c r="N110" t="s">
        <v>402</v>
      </c>
      <c r="O110" s="114">
        <v>2300</v>
      </c>
      <c r="P110" s="102"/>
      <c r="Q110" s="102"/>
      <c r="R110" s="102"/>
      <c r="S110" s="115">
        <v>327.75</v>
      </c>
    </row>
    <row r="111" spans="1:20" x14ac:dyDescent="0.2">
      <c r="D111" s="116">
        <f>H25+H46+H51+H55+H83</f>
        <v>933.375</v>
      </c>
      <c r="E111" s="107" t="s">
        <v>403</v>
      </c>
      <c r="F111" s="108">
        <v>621107</v>
      </c>
      <c r="G111" t="s">
        <v>400</v>
      </c>
      <c r="H111" s="110"/>
      <c r="I111" s="118"/>
      <c r="J111" s="118"/>
      <c r="K111" s="118"/>
      <c r="L111">
        <v>51111101</v>
      </c>
      <c r="M111" s="62">
        <v>122111</v>
      </c>
      <c r="N111" t="s">
        <v>402</v>
      </c>
      <c r="O111" s="114">
        <v>2500</v>
      </c>
      <c r="P111" s="102"/>
      <c r="Q111" s="102"/>
      <c r="R111" s="102"/>
      <c r="S111" s="115">
        <v>356.24999999999994</v>
      </c>
    </row>
    <row r="112" spans="1:20" x14ac:dyDescent="0.2">
      <c r="D112" s="116"/>
      <c r="E112" s="107" t="s">
        <v>404</v>
      </c>
      <c r="F112" s="108"/>
      <c r="H112" s="110"/>
      <c r="I112" s="118"/>
      <c r="J112" s="118"/>
      <c r="K112" s="118"/>
      <c r="L112">
        <v>51111101</v>
      </c>
      <c r="M112" s="62">
        <v>131111</v>
      </c>
      <c r="N112" t="s">
        <v>402</v>
      </c>
      <c r="O112" s="114">
        <v>1300</v>
      </c>
      <c r="P112" s="102"/>
      <c r="Q112" s="102"/>
      <c r="R112" s="102"/>
      <c r="S112" s="115">
        <v>185.25</v>
      </c>
    </row>
    <row r="113" spans="4:21" ht="28.5" x14ac:dyDescent="0.2">
      <c r="D113" s="119"/>
      <c r="E113" s="120" t="s">
        <v>405</v>
      </c>
      <c r="F113" s="108"/>
      <c r="G113" t="s">
        <v>59</v>
      </c>
      <c r="H113" s="118"/>
      <c r="I113" s="118"/>
      <c r="J113" s="118"/>
      <c r="L113">
        <v>51111101</v>
      </c>
      <c r="M113" s="62">
        <v>134311</v>
      </c>
      <c r="N113" t="s">
        <v>402</v>
      </c>
      <c r="O113" s="114">
        <v>450</v>
      </c>
      <c r="P113" s="102"/>
      <c r="Q113" s="102"/>
      <c r="R113" s="102"/>
      <c r="S113" s="115">
        <v>64.13</v>
      </c>
    </row>
    <row r="114" spans="4:21" x14ac:dyDescent="0.2">
      <c r="E114" s="121" t="s">
        <v>406</v>
      </c>
      <c r="G114" t="s">
        <v>59</v>
      </c>
      <c r="H114" s="118"/>
      <c r="I114" s="118"/>
      <c r="J114" s="118"/>
      <c r="L114">
        <v>51111101</v>
      </c>
      <c r="M114" s="62">
        <v>311311</v>
      </c>
      <c r="N114" t="s">
        <v>402</v>
      </c>
      <c r="O114" s="114">
        <v>815</v>
      </c>
      <c r="P114" s="102"/>
      <c r="Q114" s="102"/>
      <c r="R114" s="102"/>
      <c r="S114" s="115">
        <v>116.14</v>
      </c>
    </row>
    <row r="115" spans="4:21" x14ac:dyDescent="0.2">
      <c r="E115" s="121"/>
      <c r="G115" t="s">
        <v>59</v>
      </c>
      <c r="L115">
        <v>51111101</v>
      </c>
      <c r="M115" s="62">
        <v>323111</v>
      </c>
      <c r="N115" t="s">
        <v>402</v>
      </c>
      <c r="O115" s="114">
        <v>60318.29</v>
      </c>
      <c r="P115" s="102"/>
      <c r="Q115" s="102"/>
      <c r="R115" s="102"/>
      <c r="S115" s="115">
        <v>8561.24</v>
      </c>
    </row>
    <row r="116" spans="4:21" x14ac:dyDescent="0.2">
      <c r="D116" s="121"/>
      <c r="E116" s="121" t="s">
        <v>407</v>
      </c>
      <c r="F116">
        <v>522111</v>
      </c>
      <c r="G116" t="s">
        <v>59</v>
      </c>
      <c r="L116">
        <v>51111101</v>
      </c>
      <c r="M116" s="77">
        <v>122311</v>
      </c>
      <c r="N116" t="s">
        <v>402</v>
      </c>
      <c r="O116" s="114">
        <v>289.286</v>
      </c>
      <c r="P116" s="102"/>
      <c r="Q116" s="102"/>
      <c r="R116" s="102"/>
      <c r="S116" s="115">
        <v>0</v>
      </c>
    </row>
    <row r="117" spans="4:21" x14ac:dyDescent="0.2">
      <c r="D117" s="104">
        <f>SUM(D107:D116)</f>
        <v>154988.29379032258</v>
      </c>
      <c r="L117">
        <v>51111101</v>
      </c>
      <c r="M117" s="62">
        <v>325311</v>
      </c>
      <c r="N117" t="s">
        <v>402</v>
      </c>
      <c r="O117" s="114">
        <f>17200.29+922.58</f>
        <v>18122.870000000003</v>
      </c>
      <c r="P117" s="102"/>
      <c r="Q117" s="102"/>
      <c r="R117" s="102"/>
      <c r="S117" s="115">
        <v>2407.6799999999998</v>
      </c>
    </row>
    <row r="118" spans="4:21" x14ac:dyDescent="0.2">
      <c r="L118">
        <v>51111101</v>
      </c>
      <c r="M118" s="77">
        <v>326111</v>
      </c>
      <c r="N118" t="s">
        <v>402</v>
      </c>
      <c r="O118" s="114">
        <v>1448.21</v>
      </c>
      <c r="P118" s="102"/>
      <c r="Q118" s="102"/>
      <c r="R118" s="102"/>
      <c r="S118" s="115">
        <v>212.33</v>
      </c>
    </row>
    <row r="119" spans="4:21" x14ac:dyDescent="0.2">
      <c r="E119" s="106">
        <v>118164.74099999999</v>
      </c>
      <c r="F119" s="108" t="s">
        <v>408</v>
      </c>
      <c r="G119" s="108" t="s">
        <v>409</v>
      </c>
      <c r="I119" s="121">
        <f>E127-D117</f>
        <v>-2356.7006666667003</v>
      </c>
      <c r="L119">
        <v>51111101</v>
      </c>
      <c r="M119" s="122">
        <v>327111</v>
      </c>
      <c r="N119" t="s">
        <v>402</v>
      </c>
      <c r="O119" s="114">
        <v>1136</v>
      </c>
      <c r="P119" s="102"/>
      <c r="Q119" s="102"/>
      <c r="R119" s="102"/>
      <c r="S119" s="115">
        <v>161.88</v>
      </c>
    </row>
    <row r="120" spans="4:21" x14ac:dyDescent="0.2">
      <c r="E120" s="106">
        <f>G105+H105</f>
        <v>29760.307499999995</v>
      </c>
      <c r="F120" s="108" t="s">
        <v>410</v>
      </c>
      <c r="G120" s="108">
        <v>214311</v>
      </c>
      <c r="L120">
        <v>51111101</v>
      </c>
      <c r="M120" s="62">
        <v>329111</v>
      </c>
      <c r="N120" t="s">
        <v>402</v>
      </c>
      <c r="O120" s="114">
        <v>34550.07</v>
      </c>
      <c r="P120" s="102"/>
      <c r="Q120" s="102"/>
      <c r="R120" s="102"/>
      <c r="S120" s="115">
        <v>5117.1099999999997</v>
      </c>
    </row>
    <row r="121" spans="4:21" x14ac:dyDescent="0.2">
      <c r="E121" s="106">
        <f>I105</f>
        <v>4706.5446236559164</v>
      </c>
      <c r="F121" s="108" t="s">
        <v>411</v>
      </c>
      <c r="G121" s="108">
        <v>214801</v>
      </c>
      <c r="L121">
        <v>51111101</v>
      </c>
      <c r="M121" s="62">
        <v>349311</v>
      </c>
      <c r="N121" t="s">
        <v>402</v>
      </c>
      <c r="O121" s="114">
        <v>3275</v>
      </c>
      <c r="P121" s="102"/>
      <c r="Q121" s="102"/>
      <c r="R121" s="102"/>
      <c r="S121" s="115">
        <v>466.69</v>
      </c>
    </row>
    <row r="122" spans="4:21" ht="15" x14ac:dyDescent="0.25">
      <c r="E122" s="123"/>
      <c r="L122">
        <v>51111101</v>
      </c>
      <c r="M122" s="122">
        <v>318223</v>
      </c>
      <c r="N122" t="s">
        <v>402</v>
      </c>
      <c r="O122" s="114">
        <v>1560</v>
      </c>
      <c r="P122" s="124"/>
      <c r="Q122" s="124"/>
      <c r="R122" s="124">
        <f t="shared" ref="R122" si="11">SUBTOTAL(9,R110:R121)</f>
        <v>0</v>
      </c>
      <c r="S122" s="115">
        <v>222.3</v>
      </c>
    </row>
    <row r="123" spans="4:21" ht="15" x14ac:dyDescent="0.25">
      <c r="E123" s="123"/>
      <c r="L123">
        <v>51111101</v>
      </c>
      <c r="M123" s="122">
        <v>325411</v>
      </c>
      <c r="O123" s="114">
        <v>3619</v>
      </c>
      <c r="P123" s="124"/>
      <c r="Q123" s="124"/>
      <c r="R123" s="124"/>
      <c r="S123" s="115">
        <v>515.71</v>
      </c>
    </row>
    <row r="124" spans="4:21" ht="15" x14ac:dyDescent="0.25">
      <c r="E124" s="123"/>
      <c r="K124" s="125"/>
      <c r="M124" s="62">
        <v>323111</v>
      </c>
      <c r="N124" t="s">
        <v>459</v>
      </c>
      <c r="O124" s="114">
        <f>745.82</f>
        <v>745.82</v>
      </c>
      <c r="P124" s="124"/>
      <c r="Q124" s="124"/>
      <c r="R124" s="124"/>
      <c r="S124" s="115"/>
    </row>
    <row r="125" spans="4:21" ht="15" x14ac:dyDescent="0.25">
      <c r="E125" s="123"/>
      <c r="M125" s="62">
        <v>325311</v>
      </c>
      <c r="N125" t="s">
        <v>459</v>
      </c>
      <c r="O125" s="114">
        <v>1700</v>
      </c>
      <c r="P125" s="124"/>
      <c r="Q125" s="124"/>
      <c r="R125" s="124"/>
      <c r="S125" s="115"/>
    </row>
    <row r="126" spans="4:21" ht="15" x14ac:dyDescent="0.25">
      <c r="E126" s="123"/>
      <c r="M126" s="122"/>
      <c r="O126" s="102"/>
      <c r="P126" s="124"/>
      <c r="Q126" s="124"/>
      <c r="R126" s="124"/>
      <c r="S126" s="115"/>
    </row>
    <row r="127" spans="4:21" ht="15" x14ac:dyDescent="0.25">
      <c r="E127" s="126">
        <f>SUM(E119:E122)</f>
        <v>152631.59312365588</v>
      </c>
      <c r="O127" s="124">
        <f>SUBTOTAL(9,O110:O126)</f>
        <v>134129.546</v>
      </c>
      <c r="P127" s="124">
        <f>SUBTOTAL(9,P110:P122)</f>
        <v>0</v>
      </c>
      <c r="Q127" s="124">
        <f>SUBTOTAL(9,Q110:Q122)</f>
        <v>0</v>
      </c>
      <c r="R127" s="124">
        <f>SUBTOTAL(9,R110:R122)</f>
        <v>0</v>
      </c>
      <c r="S127" s="124">
        <f>SUM(S110:S123)</f>
        <v>18714.459999999995</v>
      </c>
      <c r="T127" s="124"/>
      <c r="U127" s="126"/>
    </row>
    <row r="129" spans="11:19" x14ac:dyDescent="0.2">
      <c r="K129" s="103">
        <f>M105</f>
        <v>120521.44166666662</v>
      </c>
      <c r="L129" s="127">
        <v>21141201</v>
      </c>
      <c r="N129" s="128" t="s">
        <v>412</v>
      </c>
    </row>
    <row r="130" spans="11:19" x14ac:dyDescent="0.2">
      <c r="K130" s="104">
        <f>G105+H105</f>
        <v>29760.307499999995</v>
      </c>
      <c r="L130" s="127">
        <v>21141204</v>
      </c>
      <c r="N130" s="128" t="s">
        <v>413</v>
      </c>
    </row>
    <row r="131" spans="11:19" ht="15" x14ac:dyDescent="0.25">
      <c r="K131" s="104">
        <f>I105</f>
        <v>4706.5446236559164</v>
      </c>
      <c r="L131" s="111">
        <v>21141304</v>
      </c>
      <c r="N131" s="128" t="s">
        <v>414</v>
      </c>
    </row>
    <row r="132" spans="11:19" ht="15" x14ac:dyDescent="0.25">
      <c r="S132" s="129">
        <f>SUM(S129:S131)</f>
        <v>0</v>
      </c>
    </row>
    <row r="133" spans="11:19" x14ac:dyDescent="0.2">
      <c r="S133" s="115">
        <f>O127+S127</f>
        <v>152844.00599999999</v>
      </c>
    </row>
    <row r="134" spans="11:19" x14ac:dyDescent="0.2">
      <c r="K134" s="103">
        <f>K129+K130+K131</f>
        <v>154988.29379032252</v>
      </c>
    </row>
    <row r="135" spans="11:19" x14ac:dyDescent="0.2">
      <c r="M135" s="104">
        <f>S133-K134</f>
        <v>-2144.2877903225308</v>
      </c>
    </row>
  </sheetData>
  <autoFilter ref="B3:T103" xr:uid="{00000000-0001-0000-0100-000000000000}">
    <filterColumn colId="0" showButton="0"/>
    <filterColumn colId="1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</autoFilter>
  <mergeCells count="4">
    <mergeCell ref="B1:D2"/>
    <mergeCell ref="E1:E2"/>
    <mergeCell ref="B3:D3"/>
    <mergeCell ref="E3:M3"/>
  </mergeCells>
  <conditionalFormatting sqref="L129">
    <cfRule type="duplicateValues" dxfId="19" priority="10"/>
    <cfRule type="duplicateValues" dxfId="18" priority="11"/>
    <cfRule type="duplicateValues" dxfId="17" priority="12"/>
    <cfRule type="duplicateValues" dxfId="16" priority="13"/>
  </conditionalFormatting>
  <conditionalFormatting sqref="L130">
    <cfRule type="duplicateValues" dxfId="15" priority="5"/>
    <cfRule type="duplicateValues" dxfId="14" priority="6"/>
    <cfRule type="duplicateValues" dxfId="13" priority="7"/>
    <cfRule type="duplicateValues" dxfId="12" priority="8"/>
  </conditionalFormatting>
  <conditionalFormatting sqref="L131">
    <cfRule type="duplicateValues" dxfId="11" priority="2"/>
    <cfRule type="duplicateValues" dxfId="10" priority="3"/>
  </conditionalFormatting>
  <conditionalFormatting sqref="M118">
    <cfRule type="duplicateValues" dxfId="9" priority="18"/>
  </conditionalFormatting>
  <conditionalFormatting sqref="N129">
    <cfRule type="duplicateValues" dxfId="8" priority="9"/>
  </conditionalFormatting>
  <conditionalFormatting sqref="N130">
    <cfRule type="duplicateValues" dxfId="7" priority="4"/>
  </conditionalFormatting>
  <conditionalFormatting sqref="N131">
    <cfRule type="duplicateValues" dxfId="6" priority="1"/>
  </conditionalFormatting>
  <conditionalFormatting sqref="P5:P51">
    <cfRule type="duplicateValues" dxfId="5" priority="20"/>
  </conditionalFormatting>
  <conditionalFormatting sqref="S62:S79">
    <cfRule type="duplicateValues" dxfId="4" priority="19"/>
  </conditionalFormatting>
  <conditionalFormatting sqref="S109">
    <cfRule type="duplicateValues" dxfId="3" priority="14"/>
    <cfRule type="duplicateValues" dxfId="2" priority="15"/>
    <cfRule type="duplicateValues" dxfId="1" priority="16"/>
    <cfRule type="duplicateValues" dxfId="0" priority="17"/>
  </conditionalFormatting>
  <pageMargins left="0.7" right="0.7" top="0.75" bottom="0.75" header="0.3" footer="0.3"/>
  <pageSetup paperSize="9" scale="35" orientation="landscape" r:id="rId1"/>
  <headerFooter>
    <oddFooter>&amp;C_x000D_&amp;1#&amp;"Calibri"&amp;10&amp;KFFFF00 Ejada Internal Use Only</oddFooter>
  </headerFooter>
  <legacyDrawing r:id="rId2"/>
</worksheet>
</file>

<file path=docMetadata/LabelInfo.xml><?xml version="1.0" encoding="utf-8"?>
<clbl:labelList xmlns:clbl="http://schemas.microsoft.com/office/2020/mipLabelMetadata">
  <clbl:label id="{0f1e79fc-1f4d-4187-a67d-c1c5354c13f8}" enabled="1" method="Standard" siteId="{e1304ad9-93ba-4557-8b20-8c1c1143b399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Salary Slip</vt:lpstr>
      <vt:lpstr>Control</vt:lpstr>
      <vt:lpstr>NAMES</vt:lpstr>
      <vt:lpstr>November 2025</vt:lpstr>
      <vt:lpstr>October 2025</vt:lpstr>
      <vt:lpstr>September 2025</vt:lpstr>
      <vt:lpstr>August 2025</vt:lpstr>
      <vt:lpstr>July 2025</vt:lpstr>
      <vt:lpstr>June 2025</vt:lpstr>
      <vt:lpstr>May 2025</vt:lpstr>
      <vt:lpstr>April 2025</vt:lpstr>
      <vt:lpstr>March 2025</vt:lpstr>
      <vt:lpstr>'April 2025'!Print_Area</vt:lpstr>
      <vt:lpstr>'August 2025'!Print_Area</vt:lpstr>
      <vt:lpstr>'July 2025'!Print_Area</vt:lpstr>
      <vt:lpstr>'June 2025'!Print_Area</vt:lpstr>
      <vt:lpstr>'March 2025'!Print_Area</vt:lpstr>
      <vt:lpstr>'May 2025'!Print_Area</vt:lpstr>
      <vt:lpstr>'Salary Slip'!Print_Area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 Al Subeihi | Ejada Systems</dc:creator>
  <cp:lastModifiedBy>Anas Al Subeihi | Ejada Systems</cp:lastModifiedBy>
  <cp:lastPrinted>2025-12-07T09:36:21Z</cp:lastPrinted>
  <dcterms:created xsi:type="dcterms:W3CDTF">2025-08-31T12:23:15Z</dcterms:created>
  <dcterms:modified xsi:type="dcterms:W3CDTF">2025-12-07T11:36:22Z</dcterms:modified>
</cp:coreProperties>
</file>